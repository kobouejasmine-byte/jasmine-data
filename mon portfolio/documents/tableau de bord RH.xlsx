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CK COMPUTERS\Desktop\"/>
    </mc:Choice>
  </mc:AlternateContent>
  <xr:revisionPtr revIDLastSave="0" documentId="8_{D9D88843-0DF8-41EB-B338-1449403DA22F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EMPLOYES" sheetId="2" r:id="rId1"/>
    <sheet name="CALCULS" sheetId="6" r:id="rId2"/>
    <sheet name="TABLEAU DE BORD" sheetId="5" r:id="rId3"/>
    <sheet name="Interprétation" sheetId="7" r:id="rId4"/>
  </sheets>
  <definedNames>
    <definedName name="Segment_Service">#N/A</definedName>
    <definedName name="Segment_Sex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<sst xmlns="http://schemas.openxmlformats.org/spreadsheetml/2006/main" count="282" uniqueCount="108">
  <si>
    <t>Matricule</t>
  </si>
  <si>
    <t>Service</t>
  </si>
  <si>
    <t>Sexe</t>
  </si>
  <si>
    <t>Age</t>
  </si>
  <si>
    <t>Rému.</t>
  </si>
  <si>
    <t>Norma H.</t>
  </si>
  <si>
    <t>Produit</t>
  </si>
  <si>
    <t>Femme</t>
  </si>
  <si>
    <t>Xavier E.</t>
  </si>
  <si>
    <t>Homme</t>
  </si>
  <si>
    <t>Jean P.</t>
  </si>
  <si>
    <t>Marketing</t>
  </si>
  <si>
    <t>Félicie P.</t>
  </si>
  <si>
    <t>RH</t>
  </si>
  <si>
    <t>Sam H.</t>
  </si>
  <si>
    <t>Vincent K.</t>
  </si>
  <si>
    <t>Finance</t>
  </si>
  <si>
    <t>Terry B.</t>
  </si>
  <si>
    <t>Samira O.</t>
  </si>
  <si>
    <t>Jade F.</t>
  </si>
  <si>
    <t>Stratégie</t>
  </si>
  <si>
    <t>Guy K.</t>
  </si>
  <si>
    <t>Commercial</t>
  </si>
  <si>
    <t>Tim A.</t>
  </si>
  <si>
    <t>Laure F.</t>
  </si>
  <si>
    <t>Lorie K.</t>
  </si>
  <si>
    <t>Didiane G.</t>
  </si>
  <si>
    <t>Armand P.</t>
  </si>
  <si>
    <t>Frontino K.</t>
  </si>
  <si>
    <t>Damien E.</t>
  </si>
  <si>
    <t>Vernon H.</t>
  </si>
  <si>
    <t>Geoffrey C.</t>
  </si>
  <si>
    <t>Mélodie G.</t>
  </si>
  <si>
    <t>Logistique</t>
  </si>
  <si>
    <t>Aurélie P.</t>
  </si>
  <si>
    <t>Hélène B.</t>
  </si>
  <si>
    <t>Autre</t>
  </si>
  <si>
    <t>Timothée P.</t>
  </si>
  <si>
    <t>Alicia B.</t>
  </si>
  <si>
    <t>Oscar V.</t>
  </si>
  <si>
    <t>Fletcher Q.</t>
  </si>
  <si>
    <t>Adélaïde E.</t>
  </si>
  <si>
    <t>Sylvain H.</t>
  </si>
  <si>
    <t>Djibril G.</t>
  </si>
  <si>
    <t>Geoffrey N.</t>
  </si>
  <si>
    <t>Sébastien T.</t>
  </si>
  <si>
    <t>Juridique</t>
  </si>
  <si>
    <t>Quentin O.</t>
  </si>
  <si>
    <t>Eric C.</t>
  </si>
  <si>
    <t>James A.</t>
  </si>
  <si>
    <t>Séverine G.</t>
  </si>
  <si>
    <t>Lalou F.</t>
  </si>
  <si>
    <t>Thaïs V.</t>
  </si>
  <si>
    <t>Sarah C.</t>
  </si>
  <si>
    <t>Vivien K.</t>
  </si>
  <si>
    <t>Vincent R.</t>
  </si>
  <si>
    <t>Thomas G.</t>
  </si>
  <si>
    <t>Heloïse A.</t>
  </si>
  <si>
    <t>Sarah G.</t>
  </si>
  <si>
    <t>Louise C.</t>
  </si>
  <si>
    <t>Gérard P.</t>
  </si>
  <si>
    <t>Patrick Q.</t>
  </si>
  <si>
    <t>Benoît C.</t>
  </si>
  <si>
    <t>Samia B.</t>
  </si>
  <si>
    <t>Amina H.</t>
  </si>
  <si>
    <t>Léo P.</t>
  </si>
  <si>
    <t>Rida F.</t>
  </si>
  <si>
    <t>Gaspard P.</t>
  </si>
  <si>
    <t>Mélanie H.</t>
  </si>
  <si>
    <t>Mélanie K.</t>
  </si>
  <si>
    <t>Pierre H.</t>
  </si>
  <si>
    <t>Emmanuel B.</t>
  </si>
  <si>
    <t>Lily B.</t>
  </si>
  <si>
    <t>Clémence B.</t>
  </si>
  <si>
    <t>Kim E.</t>
  </si>
  <si>
    <t>Ulrich V.</t>
  </si>
  <si>
    <t>Aminata L.</t>
  </si>
  <si>
    <t>Maëlle H.</t>
  </si>
  <si>
    <t>Clément U.</t>
  </si>
  <si>
    <t>Jérôme W.</t>
  </si>
  <si>
    <t>Géraldine F.</t>
  </si>
  <si>
    <t>Sandrine B.</t>
  </si>
  <si>
    <t>Simon S.</t>
  </si>
  <si>
    <t>Zoé K.</t>
  </si>
  <si>
    <t>Développement</t>
  </si>
  <si>
    <t>Date d'embauche</t>
  </si>
  <si>
    <t>Total général</t>
  </si>
  <si>
    <t>effectif</t>
  </si>
  <si>
    <t>Age moyen</t>
  </si>
  <si>
    <t>Revenu moyen</t>
  </si>
  <si>
    <t>Revenu total</t>
  </si>
  <si>
    <t>=</t>
  </si>
  <si>
    <t>Nombre de Matricule</t>
  </si>
  <si>
    <t>2016</t>
  </si>
  <si>
    <t>2017</t>
  </si>
  <si>
    <t>2018</t>
  </si>
  <si>
    <t>2019</t>
  </si>
  <si>
    <t>2020</t>
  </si>
  <si>
    <t>2021</t>
  </si>
  <si>
    <t>2022</t>
  </si>
  <si>
    <t>2023</t>
  </si>
  <si>
    <t>&lt;20</t>
  </si>
  <si>
    <t>20-29</t>
  </si>
  <si>
    <t>30-39</t>
  </si>
  <si>
    <t>40-49</t>
  </si>
  <si>
    <t>50-60</t>
  </si>
  <si>
    <t>&gt;60</t>
  </si>
  <si>
    <t>SEXE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</si>
</sst>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#,##0\ &quot;€&quot;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2683C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 applyProtection="1">
      <alignment horizontal="right" vertical="center" indent="1"/>
      <protection hidden="1"/>
    </xf>
    <xf numFmtId="0" fontId="3" fillId="0" borderId="0" xfId="0" applyFont="1" applyAlignment="1" applyProtection="1">
      <alignment horizontal="left" vertical="center" indent="1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64" fontId="3" fillId="0" borderId="0" xfId="0" applyNumberFormat="1" applyFont="1" applyAlignment="1" applyProtection="1">
      <alignment horizontal="right" vertical="center" inden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14" fontId="3" fillId="0" borderId="0" xfId="0" applyNumberFormat="1" applyFont="1" applyAlignment="1" applyProtection="1">
      <alignment horizontal="center" vertical="center"/>
      <protection hidden="1"/>
    </xf>
    <xf numFmtId="0" fontId="0" fillId="0" borderId="0" xfId="0" applyAlignment="1">
      <alignment horizontal="right" vertical="center"/>
    </xf>
    <xf numFmtId="0" fontId="4" fillId="0" borderId="0" xfId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164" fontId="0" fillId="0" borderId="0" xfId="0" applyNumberFormat="1"/>
    <xf numFmtId="0" fontId="5" fillId="0" borderId="0" xfId="0" applyFont="1"/>
    <xf numFmtId="0" fontId="6" fillId="0" borderId="0" xfId="0" applyFont="1"/>
    <xf numFmtId="0" fontId="6" fillId="2" borderId="0" xfId="0" applyFont="1" applyFill="1"/>
    <xf numFmtId="0" fontId="5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3" borderId="10" xfId="0" applyNumberFormat="1" applyFont="1" applyFill="1" applyBorder="1"/>
    <xf numFmtId="1" fontId="7" fillId="3" borderId="10" xfId="0" applyNumberFormat="1" applyFont="1" applyFill="1" applyBorder="1"/>
    <xf numFmtId="164" fontId="7" fillId="3" borderId="10" xfId="0" applyNumberFormat="1" applyFont="1" applyFill="1" applyBorder="1"/>
    <xf numFmtId="6" fontId="8" fillId="0" borderId="0" xfId="0" applyNumberFormat="1" applyFont="1"/>
  </cellXfs>
  <cellStyles count="2">
    <cellStyle name="Lien hypertexte" xfId="1" builtinId="8"/>
    <cellStyle name="Normal" xfId="0" builtinId="0"/>
  </cellStyles>
  <dxfs count="14">
    <dxf>
      <numFmt numFmtId="164" formatCode="#,##0\ &quot;€&quot;"/>
    </dxf>
    <dxf>
      <numFmt numFmtId="164" formatCode="#,##0\ &quot;€&quot;"/>
    </dxf>
    <dxf>
      <numFmt numFmtId="1" formatCode="0"/>
    </dxf>
    <dxf>
      <numFmt numFmtId="1" formatCode="0"/>
    </dxf>
    <dxf>
      <numFmt numFmtId="164" formatCode="#,##0\ &quot;€&quot;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#,##0\ &quot;€&quot;"/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 de bord RH.xlsx]CALCULS!Tableau croisé dynamique3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1"/>
                </a:solidFill>
              </a:rPr>
              <a:t>Effectif</a:t>
            </a:r>
            <a:r>
              <a:rPr lang="en-US" sz="1600" b="1" baseline="0">
                <a:solidFill>
                  <a:schemeClr val="accent1"/>
                </a:solidFill>
              </a:rPr>
              <a:t> par service</a:t>
            </a:r>
            <a:endParaRPr lang="en-US" sz="1600" b="1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1.8014655760054545E-2"/>
          <c:y val="2.89954337899543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506390593047035E-2"/>
          <c:y val="0.20069672754946727"/>
          <c:w val="0.9254575664621677"/>
          <c:h val="0.477254946727549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CALCULS!$J$9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CALCULS!$I$10:$I$20</c:f>
              <c:strCache>
                <c:ptCount val="10"/>
                <c:pt idx="0">
                  <c:v>Commercial</c:v>
                </c:pt>
                <c:pt idx="1">
                  <c:v>Développement</c:v>
                </c:pt>
                <c:pt idx="2">
                  <c:v>Finance</c:v>
                </c:pt>
                <c:pt idx="3">
                  <c:v>Juridique</c:v>
                </c:pt>
                <c:pt idx="4">
                  <c:v>Logistique</c:v>
                </c:pt>
                <c:pt idx="5">
                  <c:v>Marketing</c:v>
                </c:pt>
                <c:pt idx="6">
                  <c:v>Produit</c:v>
                </c:pt>
                <c:pt idx="7">
                  <c:v>RH</c:v>
                </c:pt>
                <c:pt idx="8">
                  <c:v>Stratégie</c:v>
                </c:pt>
                <c:pt idx="9">
                  <c:v>Autre</c:v>
                </c:pt>
              </c:strCache>
            </c:strRef>
          </c:cat>
          <c:val>
            <c:numRef>
              <c:f>CALCULS!$J$10:$J$20</c:f>
              <c:numCache>
                <c:formatCode>General</c:formatCode>
                <c:ptCount val="10"/>
                <c:pt idx="0">
                  <c:v>8</c:v>
                </c:pt>
                <c:pt idx="1">
                  <c:v>11</c:v>
                </c:pt>
                <c:pt idx="2">
                  <c:v>7</c:v>
                </c:pt>
                <c:pt idx="3">
                  <c:v>2</c:v>
                </c:pt>
                <c:pt idx="4">
                  <c:v>5</c:v>
                </c:pt>
                <c:pt idx="5">
                  <c:v>11</c:v>
                </c:pt>
                <c:pt idx="6">
                  <c:v>8</c:v>
                </c:pt>
                <c:pt idx="7">
                  <c:v>6</c:v>
                </c:pt>
                <c:pt idx="8">
                  <c:v>6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0-4161-8448-877FC3F34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589499376"/>
        <c:axId val="1589498960"/>
      </c:barChart>
      <c:catAx>
        <c:axId val="158949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9498960"/>
        <c:crosses val="autoZero"/>
        <c:auto val="1"/>
        <c:lblAlgn val="ctr"/>
        <c:lblOffset val="100"/>
        <c:noMultiLvlLbl val="0"/>
      </c:catAx>
      <c:valAx>
        <c:axId val="1589498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94993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 de bord RH.xlsx]CALCULS!Tableau croisé dynamique4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1"/>
                </a:solidFill>
              </a:rPr>
              <a:t>Revenu</a:t>
            </a:r>
            <a:r>
              <a:rPr lang="en-US" sz="1600" b="1" baseline="0">
                <a:solidFill>
                  <a:schemeClr val="accent1"/>
                </a:solidFill>
              </a:rPr>
              <a:t> total par service</a:t>
            </a:r>
            <a:endParaRPr lang="en-US" sz="1600" b="1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2.4507498295841867E-2"/>
          <c:y val="2.41628614916286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4542433537832326E-2"/>
          <c:y val="0.12820814307458145"/>
          <c:w val="0.9254575664621677"/>
          <c:h val="0.477254946727549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CALCULS!$M$9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CALCULS!$L$10:$L$20</c:f>
              <c:strCache>
                <c:ptCount val="10"/>
                <c:pt idx="0">
                  <c:v>Commercial</c:v>
                </c:pt>
                <c:pt idx="1">
                  <c:v>Développement</c:v>
                </c:pt>
                <c:pt idx="2">
                  <c:v>Finance</c:v>
                </c:pt>
                <c:pt idx="3">
                  <c:v>Juridique</c:v>
                </c:pt>
                <c:pt idx="4">
                  <c:v>Logistique</c:v>
                </c:pt>
                <c:pt idx="5">
                  <c:v>Marketing</c:v>
                </c:pt>
                <c:pt idx="6">
                  <c:v>Produit</c:v>
                </c:pt>
                <c:pt idx="7">
                  <c:v>RH</c:v>
                </c:pt>
                <c:pt idx="8">
                  <c:v>Stratégie</c:v>
                </c:pt>
                <c:pt idx="9">
                  <c:v>Autre</c:v>
                </c:pt>
              </c:strCache>
            </c:strRef>
          </c:cat>
          <c:val>
            <c:numRef>
              <c:f>CALCULS!$M$10:$M$20</c:f>
              <c:numCache>
                <c:formatCode>#\ ##0\ "€"</c:formatCode>
                <c:ptCount val="10"/>
                <c:pt idx="0">
                  <c:v>501040</c:v>
                </c:pt>
                <c:pt idx="1">
                  <c:v>552340</c:v>
                </c:pt>
                <c:pt idx="2">
                  <c:v>433580</c:v>
                </c:pt>
                <c:pt idx="3">
                  <c:v>122859</c:v>
                </c:pt>
                <c:pt idx="4">
                  <c:v>256066</c:v>
                </c:pt>
                <c:pt idx="5">
                  <c:v>717663</c:v>
                </c:pt>
                <c:pt idx="6">
                  <c:v>495314</c:v>
                </c:pt>
                <c:pt idx="7">
                  <c:v>272928</c:v>
                </c:pt>
                <c:pt idx="8">
                  <c:v>386533</c:v>
                </c:pt>
                <c:pt idx="9">
                  <c:v>262081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E-4135-9BF8-27D63D4EC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589070752"/>
        <c:axId val="1589069504"/>
      </c:barChart>
      <c:catAx>
        <c:axId val="158907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9069504"/>
        <c:crosses val="autoZero"/>
        <c:auto val="1"/>
        <c:lblAlgn val="ctr"/>
        <c:lblOffset val="100"/>
        <c:noMultiLvlLbl val="0"/>
      </c:catAx>
      <c:valAx>
        <c:axId val="1589069504"/>
        <c:scaling>
          <c:orientation val="minMax"/>
        </c:scaling>
        <c:delete val="1"/>
        <c:axPos val="l"/>
        <c:numFmt formatCode="#\ ##0\ &quot;€&quot;" sourceLinked="1"/>
        <c:majorTickMark val="none"/>
        <c:minorTickMark val="none"/>
        <c:tickLblPos val="nextTo"/>
        <c:crossAx val="158907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 de bord RH.xlsx]CALCULS!Tableau croisé dynamique1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EFFECTIF</a:t>
            </a:r>
            <a:r>
              <a:rPr lang="en-US" b="1" baseline="0">
                <a:solidFill>
                  <a:schemeClr val="accent1"/>
                </a:solidFill>
              </a:rPr>
              <a:t> PAR SEXE</a:t>
            </a:r>
            <a:endParaRPr lang="en-US"/>
          </a:p>
        </c:rich>
      </c:tx>
      <c:layout>
        <c:manualLayout>
          <c:xMode val="edge"/>
          <c:yMode val="edge"/>
          <c:x val="4.9855555555555556E-2"/>
          <c:y val="4.832572298325722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3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398851851851852"/>
          <c:y val="0.13183942161339421"/>
          <c:w val="0.77445407407407407"/>
          <c:h val="0.79567199391171994"/>
        </c:manualLayout>
      </c:layout>
      <c:doughnutChart>
        <c:varyColors val="1"/>
        <c:ser>
          <c:idx val="0"/>
          <c:order val="0"/>
          <c:tx>
            <c:strRef>
              <c:f>CALCULS!$P$11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B3-4BAD-9A12-88A9F9512374}"/>
              </c:ext>
            </c:extLst>
          </c:dPt>
          <c:dPt>
            <c:idx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B3-4BAD-9A12-88A9F9512374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CALCULS!$O$12:$O$14</c:f>
              <c:strCache>
                <c:ptCount val="2"/>
                <c:pt idx="0">
                  <c:v>Femme</c:v>
                </c:pt>
                <c:pt idx="1">
                  <c:v>Homme</c:v>
                </c:pt>
              </c:strCache>
            </c:strRef>
          </c:cat>
          <c:val>
            <c:numRef>
              <c:f>CALCULS!$P$12:$P$14</c:f>
              <c:numCache>
                <c:formatCode>General</c:formatCode>
                <c:ptCount val="2"/>
                <c:pt idx="0">
                  <c:v>31</c:v>
                </c:pt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B3-4BAD-9A12-88A9F95123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 de bord RH.xlsx]CALCULS!Tableau croisé dynamique5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1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NOMBRE</a:t>
            </a:r>
            <a:r>
              <a:rPr lang="en-US" b="1" baseline="0">
                <a:solidFill>
                  <a:schemeClr val="accent1"/>
                </a:solidFill>
              </a:rPr>
              <a:t> D'ENBAUCHE PAR ANNEE</a:t>
            </a:r>
            <a:endParaRPr lang="en-US" b="1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3.37840984697272E-2"/>
          <c:y val="2.8995433789954339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1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CALCULS!$P$18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CALCULS!$O$19:$O$27</c:f>
              <c:strCach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strCache>
            </c:strRef>
          </c:cat>
          <c:val>
            <c:numRef>
              <c:f>CALCULS!$P$19:$P$27</c:f>
              <c:numCache>
                <c:formatCode>General</c:formatCode>
                <c:ptCount val="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7</c:v>
                </c:pt>
                <c:pt idx="6">
                  <c:v>11</c:v>
                </c:pt>
                <c:pt idx="7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5-478A-98D1-22B98426C7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153762431"/>
        <c:axId val="153757855"/>
      </c:barChart>
      <c:catAx>
        <c:axId val="15376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757855"/>
        <c:crosses val="autoZero"/>
        <c:auto val="1"/>
        <c:lblAlgn val="ctr"/>
        <c:lblOffset val="100"/>
        <c:noMultiLvlLbl val="0"/>
      </c:catAx>
      <c:valAx>
        <c:axId val="1537578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76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 de bord RH.xlsx]CALCULS!Tableau croisé dynamique7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714071856287434E-2"/>
          <c:y val="0.21263318112633181"/>
          <c:w val="0.84661726546906191"/>
          <c:h val="0.699422374429223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CALCULS!$T$17:$T$18</c:f>
              <c:strCache>
                <c:ptCount val="1"/>
                <c:pt idx="0">
                  <c:v>Femme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CALCULS!$S$19:$S$25</c:f>
              <c:strCache>
                <c:ptCount val="6"/>
                <c:pt idx="0">
                  <c:v>&lt;20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50-60</c:v>
                </c:pt>
                <c:pt idx="5">
                  <c:v>&gt;60</c:v>
                </c:pt>
              </c:strCache>
            </c:strRef>
          </c:cat>
          <c:val>
            <c:numRef>
              <c:f>CALCULS!$T$19:$T$25</c:f>
              <c:numCache>
                <c:formatCode>General</c:formatCode>
                <c:ptCount val="6"/>
                <c:pt idx="1">
                  <c:v>9</c:v>
                </c:pt>
                <c:pt idx="2">
                  <c:v>9</c:v>
                </c:pt>
                <c:pt idx="3">
                  <c:v>3</c:v>
                </c:pt>
                <c:pt idx="4">
                  <c:v>9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D-4560-B2AE-63A761ED8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3"/>
        <c:axId val="1199197039"/>
        <c:axId val="1199188719"/>
      </c:barChart>
      <c:barChart>
        <c:barDir val="bar"/>
        <c:grouping val="clustered"/>
        <c:varyColors val="0"/>
        <c:ser>
          <c:idx val="1"/>
          <c:order val="1"/>
          <c:tx>
            <c:strRef>
              <c:f>CALCULS!$U$17:$U$18</c:f>
              <c:strCache>
                <c:ptCount val="1"/>
                <c:pt idx="0">
                  <c:v>Homme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CALCULS!$S$19:$S$25</c:f>
              <c:strCache>
                <c:ptCount val="6"/>
                <c:pt idx="0">
                  <c:v>&lt;20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50-60</c:v>
                </c:pt>
                <c:pt idx="5">
                  <c:v>&gt;60</c:v>
                </c:pt>
              </c:strCache>
            </c:strRef>
          </c:cat>
          <c:val>
            <c:numRef>
              <c:f>CALCULS!$U$19:$U$25</c:f>
              <c:numCache>
                <c:formatCode>General</c:formatCode>
                <c:ptCount val="6"/>
                <c:pt idx="0">
                  <c:v>1</c:v>
                </c:pt>
                <c:pt idx="1">
                  <c:v>14</c:v>
                </c:pt>
                <c:pt idx="2">
                  <c:v>10</c:v>
                </c:pt>
                <c:pt idx="3">
                  <c:v>8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0D-4560-B2AE-63A761ED8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3"/>
        <c:axId val="1335118847"/>
        <c:axId val="1335132159"/>
      </c:barChart>
      <c:catAx>
        <c:axId val="1199197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9188719"/>
        <c:crosses val="autoZero"/>
        <c:auto val="1"/>
        <c:lblAlgn val="ctr"/>
        <c:lblOffset val="100"/>
        <c:noMultiLvlLbl val="0"/>
      </c:catAx>
      <c:valAx>
        <c:axId val="1199188719"/>
        <c:scaling>
          <c:orientation val="minMax"/>
          <c:max val="20"/>
          <c:min val="-20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>
                    <a:solidFill>
                      <a:schemeClr val="accent1"/>
                    </a:solidFill>
                  </a:rPr>
                  <a:t>EFFECTIF</a:t>
                </a:r>
                <a:r>
                  <a:rPr lang="fr-FR" sz="1400" b="1" baseline="0">
                    <a:solidFill>
                      <a:schemeClr val="accent1"/>
                    </a:solidFill>
                  </a:rPr>
                  <a:t> PAR TRANCHE D'AGE ET PAR SEXE</a:t>
                </a:r>
                <a:endParaRPr lang="fr-FR" sz="1400" b="1">
                  <a:solidFill>
                    <a:schemeClr val="accent1"/>
                  </a:solidFill>
                </a:endParaRPr>
              </a:p>
            </c:rich>
          </c:tx>
          <c:layout>
            <c:manualLayout>
              <c:xMode val="edge"/>
              <c:yMode val="edge"/>
              <c:x val="5.8083832335327902E-4"/>
              <c:y val="8.3318112633180702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crossAx val="1199197039"/>
        <c:crosses val="autoZero"/>
        <c:crossBetween val="between"/>
      </c:valAx>
      <c:valAx>
        <c:axId val="1335132159"/>
        <c:scaling>
          <c:orientation val="maxMin"/>
          <c:max val="20"/>
          <c:min val="-20"/>
        </c:scaling>
        <c:delete val="1"/>
        <c:axPos val="t"/>
        <c:numFmt formatCode="General" sourceLinked="1"/>
        <c:majorTickMark val="out"/>
        <c:minorTickMark val="none"/>
        <c:tickLblPos val="nextTo"/>
        <c:crossAx val="1335118847"/>
        <c:crosses val="max"/>
        <c:crossBetween val="between"/>
      </c:valAx>
      <c:catAx>
        <c:axId val="1335118847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3351321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image" Target="../media/image4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11" Type="http://schemas.openxmlformats.org/officeDocument/2006/relationships/image" Target="../media/image6.png"/><Relationship Id="rId5" Type="http://schemas.openxmlformats.org/officeDocument/2006/relationships/chart" Target="../charts/chart5.xml"/><Relationship Id="rId10" Type="http://schemas.openxmlformats.org/officeDocument/2006/relationships/image" Target="../media/image5.png"/><Relationship Id="rId4" Type="http://schemas.openxmlformats.org/officeDocument/2006/relationships/chart" Target="../charts/chart4.xml"/><Relationship Id="rId9" Type="http://schemas.openxmlformats.org/officeDocument/2006/relationships/image" Target="../media/image2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738186</xdr:colOff>
      <xdr:row>5</xdr:row>
      <xdr:rowOff>107155</xdr:rowOff>
    </xdr:from>
    <xdr:to>
      <xdr:col>11</xdr:col>
      <xdr:colOff>510186</xdr:colOff>
      <xdr:row>19</xdr:row>
      <xdr:rowOff>68155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B25C15CC-AC03-45AC-B337-5ABB9DB1F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726281</xdr:colOff>
      <xdr:row>20</xdr:row>
      <xdr:rowOff>23815</xdr:rowOff>
    </xdr:from>
    <xdr:to>
      <xdr:col>11</xdr:col>
      <xdr:colOff>498281</xdr:colOff>
      <xdr:row>33</xdr:row>
      <xdr:rowOff>175315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860207A0-14FF-4615-8F91-4E3D1DD21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142875</xdr:colOff>
      <xdr:row>5</xdr:row>
      <xdr:rowOff>95250</xdr:rowOff>
    </xdr:from>
    <xdr:to>
      <xdr:col>3</xdr:col>
      <xdr:colOff>556875</xdr:colOff>
      <xdr:row>8</xdr:row>
      <xdr:rowOff>190499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Sexe 1">
              <a:extLst>
                <a:ext uri="{FF2B5EF4-FFF2-40B4-BE49-F238E27FC236}">
                  <a16:creationId xmlns:a16="http://schemas.microsoft.com/office/drawing/2014/main" id="{45478BBE-1ED9-47BC-9A46-C3441E56CE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875" y="1047750"/>
              <a:ext cx="2700000" cy="8810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154781</xdr:colOff>
      <xdr:row>10</xdr:row>
      <xdr:rowOff>154780</xdr:rowOff>
    </xdr:from>
    <xdr:to>
      <xdr:col>3</xdr:col>
      <xdr:colOff>568781</xdr:colOff>
      <xdr:row>19</xdr:row>
      <xdr:rowOff>83344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Service 1">
              <a:extLst>
                <a:ext uri="{FF2B5EF4-FFF2-40B4-BE49-F238E27FC236}">
                  <a16:creationId xmlns:a16="http://schemas.microsoft.com/office/drawing/2014/main" id="{7164F11F-58FA-4E78-8E38-1157D4A2D2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781" y="2059780"/>
              <a:ext cx="2700000" cy="16430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0</xdr:col>
      <xdr:colOff>166688</xdr:colOff>
      <xdr:row>0</xdr:row>
      <xdr:rowOff>95250</xdr:rowOff>
    </xdr:from>
    <xdr:to>
      <xdr:col>3</xdr:col>
      <xdr:colOff>59532</xdr:colOff>
      <xdr:row>4</xdr:row>
      <xdr:rowOff>95249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90928DC-ADB0-42E8-9613-975A094D9955}"/>
            </a:ext>
          </a:extLst>
        </xdr:cNvPr>
        <xdr:cNvSpPr/>
      </xdr:nvSpPr>
      <xdr:spPr>
        <a:xfrm>
          <a:off x="166688" y="95250"/>
          <a:ext cx="2178844" cy="761999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3</xdr:col>
      <xdr:colOff>166688</xdr:colOff>
      <xdr:row>0</xdr:row>
      <xdr:rowOff>130969</xdr:rowOff>
    </xdr:from>
    <xdr:to>
      <xdr:col>6</xdr:col>
      <xdr:colOff>95250</xdr:colOff>
      <xdr:row>4</xdr:row>
      <xdr:rowOff>107156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8956F70-0DF9-4521-8CFA-C8AA14EA5DD5}"/>
            </a:ext>
          </a:extLst>
        </xdr:cNvPr>
        <xdr:cNvSpPr/>
      </xdr:nvSpPr>
      <xdr:spPr>
        <a:xfrm>
          <a:off x="2452688" y="130969"/>
          <a:ext cx="2214562" cy="73818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221454</xdr:colOff>
      <xdr:row>0</xdr:row>
      <xdr:rowOff>142876</xdr:rowOff>
    </xdr:from>
    <xdr:to>
      <xdr:col>9</xdr:col>
      <xdr:colOff>23811</xdr:colOff>
      <xdr:row>4</xdr:row>
      <xdr:rowOff>119064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D047BA3-3587-4C17-B696-CDFDC6188832}"/>
            </a:ext>
          </a:extLst>
        </xdr:cNvPr>
        <xdr:cNvSpPr/>
      </xdr:nvSpPr>
      <xdr:spPr>
        <a:xfrm>
          <a:off x="4793454" y="142876"/>
          <a:ext cx="2088357" cy="73818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190499</xdr:colOff>
      <xdr:row>0</xdr:row>
      <xdr:rowOff>130969</xdr:rowOff>
    </xdr:from>
    <xdr:to>
      <xdr:col>12</xdr:col>
      <xdr:colOff>607218</xdr:colOff>
      <xdr:row>4</xdr:row>
      <xdr:rowOff>119062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A4358A8-FC20-4A7D-9B7C-F07165B620E8}"/>
            </a:ext>
          </a:extLst>
        </xdr:cNvPr>
        <xdr:cNvSpPr/>
      </xdr:nvSpPr>
      <xdr:spPr>
        <a:xfrm>
          <a:off x="7048499" y="130969"/>
          <a:ext cx="2702719" cy="750093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fr-FR" sz="1100"/>
        </a:p>
      </xdr:txBody>
    </xdr:sp>
    <xdr:clientData/>
  </xdr:twoCellAnchor>
  <xdr:twoCellAnchor>
    <xdr:from>
      <xdr:col>12</xdr:col>
      <xdr:colOff>669131</xdr:colOff>
      <xdr:row>0</xdr:row>
      <xdr:rowOff>166689</xdr:rowOff>
    </xdr:from>
    <xdr:to>
      <xdr:col>15</xdr:col>
      <xdr:colOff>714375</xdr:colOff>
      <xdr:row>4</xdr:row>
      <xdr:rowOff>142877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3004CE0-5AC3-4F7E-87DF-0092C633E9E5}"/>
            </a:ext>
          </a:extLst>
        </xdr:cNvPr>
        <xdr:cNvSpPr/>
      </xdr:nvSpPr>
      <xdr:spPr>
        <a:xfrm>
          <a:off x="9813131" y="166689"/>
          <a:ext cx="2331244" cy="738188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130969</xdr:colOff>
      <xdr:row>0</xdr:row>
      <xdr:rowOff>95251</xdr:rowOff>
    </xdr:from>
    <xdr:to>
      <xdr:col>19</xdr:col>
      <xdr:colOff>547687</xdr:colOff>
      <xdr:row>4</xdr:row>
      <xdr:rowOff>107157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7013B31-525C-4364-96BD-7FE8D9CB2DD5}"/>
            </a:ext>
          </a:extLst>
        </xdr:cNvPr>
        <xdr:cNvSpPr/>
      </xdr:nvSpPr>
      <xdr:spPr>
        <a:xfrm>
          <a:off x="12322969" y="95251"/>
          <a:ext cx="2702718" cy="773906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702469</xdr:colOff>
      <xdr:row>0</xdr:row>
      <xdr:rowOff>119063</xdr:rowOff>
    </xdr:from>
    <xdr:to>
      <xdr:col>2</xdr:col>
      <xdr:colOff>571500</xdr:colOff>
      <xdr:row>3</xdr:row>
      <xdr:rowOff>11906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630D3CF1-AEE4-4CE6-A318-269018BC060C}"/>
            </a:ext>
          </a:extLst>
        </xdr:cNvPr>
        <xdr:cNvSpPr txBox="1"/>
      </xdr:nvSpPr>
      <xdr:spPr>
        <a:xfrm>
          <a:off x="702469" y="119063"/>
          <a:ext cx="1393031" cy="4643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400" b="1"/>
            <a:t>Effectif</a:t>
          </a:r>
        </a:p>
      </xdr:txBody>
    </xdr:sp>
    <xdr:clientData/>
  </xdr:twoCellAnchor>
  <xdr:twoCellAnchor>
    <xdr:from>
      <xdr:col>3</xdr:col>
      <xdr:colOff>511969</xdr:colOff>
      <xdr:row>0</xdr:row>
      <xdr:rowOff>154781</xdr:rowOff>
    </xdr:from>
    <xdr:to>
      <xdr:col>5</xdr:col>
      <xdr:colOff>631031</xdr:colOff>
      <xdr:row>2</xdr:row>
      <xdr:rowOff>119062</xdr:rowOff>
    </xdr:to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C57D4E1F-C092-4582-B87F-4F8B9AEB6F8A}"/>
            </a:ext>
          </a:extLst>
        </xdr:cNvPr>
        <xdr:cNvSpPr txBox="1"/>
      </xdr:nvSpPr>
      <xdr:spPr>
        <a:xfrm>
          <a:off x="2797969" y="154781"/>
          <a:ext cx="1643062" cy="3452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400" b="1"/>
            <a:t>Effectif</a:t>
          </a:r>
          <a:r>
            <a:rPr lang="fr-FR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femme</a:t>
          </a:r>
          <a:endParaRPr lang="fr-FR" sz="1400" b="1"/>
        </a:p>
      </xdr:txBody>
    </xdr:sp>
    <xdr:clientData/>
  </xdr:twoCellAnchor>
  <xdr:twoCellAnchor>
    <xdr:from>
      <xdr:col>4</xdr:col>
      <xdr:colOff>47624</xdr:colOff>
      <xdr:row>2</xdr:row>
      <xdr:rowOff>47625</xdr:rowOff>
    </xdr:from>
    <xdr:to>
      <xdr:col>5</xdr:col>
      <xdr:colOff>273843</xdr:colOff>
      <xdr:row>4</xdr:row>
      <xdr:rowOff>11906</xdr:rowOff>
    </xdr:to>
    <xdr:sp macro="" textlink="CALCULS!P16">
      <xdr:nvSpPr>
        <xdr:cNvPr id="17" name="ZoneTexte 16">
          <a:extLst>
            <a:ext uri="{FF2B5EF4-FFF2-40B4-BE49-F238E27FC236}">
              <a16:creationId xmlns:a16="http://schemas.microsoft.com/office/drawing/2014/main" id="{2F439162-7073-4143-BC87-5ABFA6FF44D7}"/>
            </a:ext>
          </a:extLst>
        </xdr:cNvPr>
        <xdr:cNvSpPr txBox="1"/>
      </xdr:nvSpPr>
      <xdr:spPr>
        <a:xfrm>
          <a:off x="3095624" y="428625"/>
          <a:ext cx="988219" cy="3452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9BB39BE-9A83-47A3-8A93-86C03B41A849}" type="TxLink">
            <a:rPr lang="en-US" sz="1600" b="1" i="0" u="none" strike="noStrike">
              <a:solidFill>
                <a:schemeClr val="accent6"/>
              </a:solidFill>
              <a:latin typeface="Calibri"/>
              <a:cs typeface="Calibri"/>
            </a:rPr>
            <a:pPr algn="ctr"/>
            <a:t>31</a:t>
          </a:fld>
          <a:endParaRPr lang="en-US" sz="1600" b="1">
            <a:solidFill>
              <a:schemeClr val="accent6"/>
            </a:solidFill>
          </a:endParaRPr>
        </a:p>
      </xdr:txBody>
    </xdr:sp>
    <xdr:clientData/>
  </xdr:twoCellAnchor>
  <xdr:twoCellAnchor>
    <xdr:from>
      <xdr:col>6</xdr:col>
      <xdr:colOff>607219</xdr:colOff>
      <xdr:row>0</xdr:row>
      <xdr:rowOff>130968</xdr:rowOff>
    </xdr:from>
    <xdr:to>
      <xdr:col>8</xdr:col>
      <xdr:colOff>559594</xdr:colOff>
      <xdr:row>2</xdr:row>
      <xdr:rowOff>142875</xdr:rowOff>
    </xdr:to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910BFC1C-B44D-4039-959C-D2A61EEC777D}"/>
            </a:ext>
          </a:extLst>
        </xdr:cNvPr>
        <xdr:cNvSpPr txBox="1"/>
      </xdr:nvSpPr>
      <xdr:spPr>
        <a:xfrm>
          <a:off x="5179219" y="130968"/>
          <a:ext cx="1476375" cy="392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/>
            <a:t>Effectif homme</a:t>
          </a:r>
        </a:p>
      </xdr:txBody>
    </xdr:sp>
    <xdr:clientData/>
  </xdr:twoCellAnchor>
  <xdr:twoCellAnchor>
    <xdr:from>
      <xdr:col>7</xdr:col>
      <xdr:colOff>166687</xdr:colOff>
      <xdr:row>2</xdr:row>
      <xdr:rowOff>47626</xdr:rowOff>
    </xdr:from>
    <xdr:to>
      <xdr:col>8</xdr:col>
      <xdr:colOff>126205</xdr:colOff>
      <xdr:row>3</xdr:row>
      <xdr:rowOff>166688</xdr:rowOff>
    </xdr:to>
    <xdr:sp macro="" textlink="CALCULS!O16">
      <xdr:nvSpPr>
        <xdr:cNvPr id="20" name="ZoneTexte 19">
          <a:extLst>
            <a:ext uri="{FF2B5EF4-FFF2-40B4-BE49-F238E27FC236}">
              <a16:creationId xmlns:a16="http://schemas.microsoft.com/office/drawing/2014/main" id="{7F9AE910-4AE4-4AB5-912E-B3AEF4FBFF1D}"/>
            </a:ext>
          </a:extLst>
        </xdr:cNvPr>
        <xdr:cNvSpPr txBox="1"/>
      </xdr:nvSpPr>
      <xdr:spPr>
        <a:xfrm>
          <a:off x="5500687" y="428626"/>
          <a:ext cx="721518" cy="3095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93316F5-2EDE-4944-97B9-E29AE3D67509}" type="TxLink">
            <a:rPr lang="en-US" sz="1600" b="1" i="0" u="none" strike="noStrike">
              <a:solidFill>
                <a:schemeClr val="accent6"/>
              </a:solidFill>
              <a:latin typeface="Calibri"/>
              <a:cs typeface="Calibri"/>
            </a:rPr>
            <a:pPr/>
            <a:t>37</a:t>
          </a:fld>
          <a:endParaRPr lang="fr-FR" sz="1600" b="1">
            <a:solidFill>
              <a:schemeClr val="accent6"/>
            </a:solidFill>
          </a:endParaRPr>
        </a:p>
      </xdr:txBody>
    </xdr:sp>
    <xdr:clientData/>
  </xdr:twoCellAnchor>
  <xdr:twoCellAnchor>
    <xdr:from>
      <xdr:col>9</xdr:col>
      <xdr:colOff>690562</xdr:colOff>
      <xdr:row>0</xdr:row>
      <xdr:rowOff>119062</xdr:rowOff>
    </xdr:from>
    <xdr:to>
      <xdr:col>11</xdr:col>
      <xdr:colOff>511969</xdr:colOff>
      <xdr:row>2</xdr:row>
      <xdr:rowOff>71437</xdr:rowOff>
    </xdr:to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2A94D15C-9733-4E0F-B8A5-C6EFE9A1AF6E}"/>
            </a:ext>
          </a:extLst>
        </xdr:cNvPr>
        <xdr:cNvSpPr txBox="1"/>
      </xdr:nvSpPr>
      <xdr:spPr>
        <a:xfrm>
          <a:off x="7548562" y="119062"/>
          <a:ext cx="134540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400" b="1"/>
            <a:t>Age</a:t>
          </a:r>
          <a:r>
            <a:rPr lang="fr-FR" sz="1400" b="1" baseline="0"/>
            <a:t> moyen</a:t>
          </a:r>
          <a:endParaRPr lang="fr-FR" sz="1400" b="1"/>
        </a:p>
      </xdr:txBody>
    </xdr:sp>
    <xdr:clientData/>
  </xdr:twoCellAnchor>
  <xdr:twoCellAnchor>
    <xdr:from>
      <xdr:col>10</xdr:col>
      <xdr:colOff>52379</xdr:colOff>
      <xdr:row>2</xdr:row>
      <xdr:rowOff>83343</xdr:rowOff>
    </xdr:from>
    <xdr:to>
      <xdr:col>11</xdr:col>
      <xdr:colOff>357186</xdr:colOff>
      <xdr:row>4</xdr:row>
      <xdr:rowOff>23813</xdr:rowOff>
    </xdr:to>
    <xdr:sp macro="" textlink="CALCULS!D22">
      <xdr:nvSpPr>
        <xdr:cNvPr id="33" name="ZoneTexte 32">
          <a:extLst>
            <a:ext uri="{FF2B5EF4-FFF2-40B4-BE49-F238E27FC236}">
              <a16:creationId xmlns:a16="http://schemas.microsoft.com/office/drawing/2014/main" id="{D97525F8-9FEA-4AB0-987A-68E2CFDAEB1A}"/>
            </a:ext>
          </a:extLst>
        </xdr:cNvPr>
        <xdr:cNvSpPr txBox="1"/>
      </xdr:nvSpPr>
      <xdr:spPr>
        <a:xfrm flipH="1">
          <a:off x="7672379" y="464343"/>
          <a:ext cx="1066807" cy="321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F5957F0C-6D25-4EE5-85CE-4ED4E2F66FFF}" type="TxLink">
            <a:rPr lang="en-US" sz="1800" b="1" i="0" u="none" strike="noStrike">
              <a:solidFill>
                <a:schemeClr val="accent6"/>
              </a:solidFill>
              <a:latin typeface="Calibri"/>
              <a:cs typeface="Calibri"/>
            </a:rPr>
            <a:pPr algn="ctr"/>
            <a:t>37</a:t>
          </a:fld>
          <a:endParaRPr lang="fr-FR" sz="1800" b="1">
            <a:solidFill>
              <a:schemeClr val="accent6"/>
            </a:solidFill>
          </a:endParaRPr>
        </a:p>
      </xdr:txBody>
    </xdr:sp>
    <xdr:clientData/>
  </xdr:twoCellAnchor>
  <xdr:twoCellAnchor>
    <xdr:from>
      <xdr:col>16</xdr:col>
      <xdr:colOff>261938</xdr:colOff>
      <xdr:row>0</xdr:row>
      <xdr:rowOff>119062</xdr:rowOff>
    </xdr:from>
    <xdr:to>
      <xdr:col>19</xdr:col>
      <xdr:colOff>95250</xdr:colOff>
      <xdr:row>2</xdr:row>
      <xdr:rowOff>59531</xdr:rowOff>
    </xdr:to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1E9B1B17-3117-44DC-B24C-34D7436608F1}"/>
            </a:ext>
          </a:extLst>
        </xdr:cNvPr>
        <xdr:cNvSpPr txBox="1"/>
      </xdr:nvSpPr>
      <xdr:spPr>
        <a:xfrm>
          <a:off x="12453938" y="119062"/>
          <a:ext cx="2119312" cy="3214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400" b="1"/>
            <a:t>Revenu</a:t>
          </a:r>
          <a:r>
            <a:rPr lang="fr-FR" sz="1400" b="1" baseline="0"/>
            <a:t> moyen</a:t>
          </a:r>
          <a:endParaRPr lang="fr-FR" sz="1400" b="1"/>
        </a:p>
      </xdr:txBody>
    </xdr:sp>
    <xdr:clientData/>
  </xdr:twoCellAnchor>
  <xdr:twoCellAnchor>
    <xdr:from>
      <xdr:col>16</xdr:col>
      <xdr:colOff>631031</xdr:colOff>
      <xdr:row>1</xdr:row>
      <xdr:rowOff>166688</xdr:rowOff>
    </xdr:from>
    <xdr:to>
      <xdr:col>18</xdr:col>
      <xdr:colOff>559594</xdr:colOff>
      <xdr:row>4</xdr:row>
      <xdr:rowOff>47626</xdr:rowOff>
    </xdr:to>
    <xdr:sp macro="" textlink="CALCULS!E23">
      <xdr:nvSpPr>
        <xdr:cNvPr id="35" name="ZoneTexte 34">
          <a:extLst>
            <a:ext uri="{FF2B5EF4-FFF2-40B4-BE49-F238E27FC236}">
              <a16:creationId xmlns:a16="http://schemas.microsoft.com/office/drawing/2014/main" id="{8D91026C-3C7C-4672-BFE8-8249059B1E65}"/>
            </a:ext>
          </a:extLst>
        </xdr:cNvPr>
        <xdr:cNvSpPr txBox="1"/>
      </xdr:nvSpPr>
      <xdr:spPr>
        <a:xfrm>
          <a:off x="12823031" y="357188"/>
          <a:ext cx="1452563" cy="4524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D8CE150-2299-44E1-A45E-91F8B4FFB731}" type="TxLink">
            <a:rPr lang="en-US" sz="1800" b="1" i="0" u="none" strike="noStrike">
              <a:solidFill>
                <a:schemeClr val="accent6"/>
              </a:solidFill>
              <a:latin typeface="Calibri"/>
              <a:cs typeface="Calibri"/>
            </a:rPr>
            <a:pPr/>
            <a:t>58 829 €</a:t>
          </a:fld>
          <a:endParaRPr lang="fr-FR" sz="1800">
            <a:solidFill>
              <a:schemeClr val="accent6"/>
            </a:solidFill>
          </a:endParaRPr>
        </a:p>
      </xdr:txBody>
    </xdr:sp>
    <xdr:clientData/>
  </xdr:twoCellAnchor>
  <xdr:twoCellAnchor>
    <xdr:from>
      <xdr:col>0</xdr:col>
      <xdr:colOff>166687</xdr:colOff>
      <xdr:row>20</xdr:row>
      <xdr:rowOff>35718</xdr:rowOff>
    </xdr:from>
    <xdr:to>
      <xdr:col>3</xdr:col>
      <xdr:colOff>580687</xdr:colOff>
      <xdr:row>33</xdr:row>
      <xdr:rowOff>187218</xdr:rowOff>
    </xdr:to>
    <xdr:graphicFrame macro="">
      <xdr:nvGraphicFramePr>
        <xdr:cNvPr id="26" name="Graphique 25">
          <a:extLst>
            <a:ext uri="{FF2B5EF4-FFF2-40B4-BE49-F238E27FC236}">
              <a16:creationId xmlns:a16="http://schemas.microsoft.com/office/drawing/2014/main" id="{C5721F19-175C-4B97-8766-D0BBCDDD8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690563</xdr:colOff>
      <xdr:row>5</xdr:row>
      <xdr:rowOff>115490</xdr:rowOff>
    </xdr:from>
    <xdr:to>
      <xdr:col>19</xdr:col>
      <xdr:colOff>606563</xdr:colOff>
      <xdr:row>19</xdr:row>
      <xdr:rowOff>76490</xdr:rowOff>
    </xdr:to>
    <xdr:graphicFrame macro="">
      <xdr:nvGraphicFramePr>
        <xdr:cNvPr id="28" name="Graphique 27">
          <a:extLst>
            <a:ext uri="{FF2B5EF4-FFF2-40B4-BE49-F238E27FC236}">
              <a16:creationId xmlns:a16="http://schemas.microsoft.com/office/drawing/2014/main" id="{539591D1-BBF0-41E1-AEBC-C1E36F3FD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726280</xdr:colOff>
      <xdr:row>20</xdr:row>
      <xdr:rowOff>11906</xdr:rowOff>
    </xdr:from>
    <xdr:to>
      <xdr:col>19</xdr:col>
      <xdr:colOff>642280</xdr:colOff>
      <xdr:row>33</xdr:row>
      <xdr:rowOff>163406</xdr:rowOff>
    </xdr:to>
    <xdr:graphicFrame macro="">
      <xdr:nvGraphicFramePr>
        <xdr:cNvPr id="38" name="Graphique 37">
          <a:extLst>
            <a:ext uri="{FF2B5EF4-FFF2-40B4-BE49-F238E27FC236}">
              <a16:creationId xmlns:a16="http://schemas.microsoft.com/office/drawing/2014/main" id="{26A82DAD-6667-45A2-A831-EF502E8E4D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309563</xdr:colOff>
      <xdr:row>24</xdr:row>
      <xdr:rowOff>95250</xdr:rowOff>
    </xdr:from>
    <xdr:to>
      <xdr:col>2</xdr:col>
      <xdr:colOff>59533</xdr:colOff>
      <xdr:row>28</xdr:row>
      <xdr:rowOff>71437</xdr:rowOff>
    </xdr:to>
    <xdr:pic>
      <xdr:nvPicPr>
        <xdr:cNvPr id="7" name="Graphique 6" descr="Homme avec un remplissage uni">
          <a:extLst>
            <a:ext uri="{FF2B5EF4-FFF2-40B4-BE49-F238E27FC236}">
              <a16:creationId xmlns:a16="http://schemas.microsoft.com/office/drawing/2014/main" id="{E89C48FD-195B-46A8-B99E-12A2A011A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071563" y="4667250"/>
          <a:ext cx="511970" cy="738187"/>
        </a:xfrm>
        <a:prstGeom prst="rect">
          <a:avLst/>
        </a:prstGeom>
      </xdr:spPr>
    </xdr:pic>
    <xdr:clientData/>
  </xdr:twoCellAnchor>
  <xdr:twoCellAnchor editAs="oneCell">
    <xdr:from>
      <xdr:col>1</xdr:col>
      <xdr:colOff>559596</xdr:colOff>
      <xdr:row>24</xdr:row>
      <xdr:rowOff>107155</xdr:rowOff>
    </xdr:from>
    <xdr:to>
      <xdr:col>2</xdr:col>
      <xdr:colOff>320694</xdr:colOff>
      <xdr:row>28</xdr:row>
      <xdr:rowOff>71436</xdr:rowOff>
    </xdr:to>
    <xdr:pic>
      <xdr:nvPicPr>
        <xdr:cNvPr id="21" name="Graphique 20" descr="Femme avec un remplissage uni">
          <a:extLst>
            <a:ext uri="{FF2B5EF4-FFF2-40B4-BE49-F238E27FC236}">
              <a16:creationId xmlns:a16="http://schemas.microsoft.com/office/drawing/2014/main" id="{814E9C8F-B0E0-4A55-B96D-7AC6D1973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321596" y="4679155"/>
          <a:ext cx="523098" cy="726281"/>
        </a:xfrm>
        <a:prstGeom prst="rect">
          <a:avLst/>
        </a:prstGeom>
      </xdr:spPr>
    </xdr:pic>
    <xdr:clientData/>
  </xdr:twoCellAnchor>
  <xdr:twoCellAnchor editAs="oneCell">
    <xdr:from>
      <xdr:col>13</xdr:col>
      <xdr:colOff>166687</xdr:colOff>
      <xdr:row>0</xdr:row>
      <xdr:rowOff>59531</xdr:rowOff>
    </xdr:from>
    <xdr:to>
      <xdr:col>15</xdr:col>
      <xdr:colOff>130969</xdr:colOff>
      <xdr:row>2</xdr:row>
      <xdr:rowOff>154781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B6783234-14A7-49C3-A9F1-E71A693E4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72687" y="59531"/>
          <a:ext cx="1488282" cy="476250"/>
        </a:xfrm>
        <a:prstGeom prst="rect">
          <a:avLst/>
        </a:prstGeom>
      </xdr:spPr>
    </xdr:pic>
    <xdr:clientData/>
  </xdr:twoCellAnchor>
  <xdr:twoCellAnchor editAs="oneCell">
    <xdr:from>
      <xdr:col>13</xdr:col>
      <xdr:colOff>347662</xdr:colOff>
      <xdr:row>2</xdr:row>
      <xdr:rowOff>1</xdr:rowOff>
    </xdr:from>
    <xdr:to>
      <xdr:col>15</xdr:col>
      <xdr:colOff>30775</xdr:colOff>
      <xdr:row>4</xdr:row>
      <xdr:rowOff>45758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8E8EF6FD-C993-4ABE-984C-2819555D1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253662" y="381001"/>
          <a:ext cx="1207113" cy="426757"/>
        </a:xfrm>
        <a:prstGeom prst="rect">
          <a:avLst/>
        </a:prstGeom>
      </xdr:spPr>
    </xdr:pic>
    <xdr:clientData/>
  </xdr:twoCellAnchor>
  <xdr:twoCellAnchor>
    <xdr:from>
      <xdr:col>1</xdr:col>
      <xdr:colOff>92870</xdr:colOff>
      <xdr:row>2</xdr:row>
      <xdr:rowOff>23812</xdr:rowOff>
    </xdr:from>
    <xdr:to>
      <xdr:col>2</xdr:col>
      <xdr:colOff>547688</xdr:colOff>
      <xdr:row>3</xdr:row>
      <xdr:rowOff>164306</xdr:rowOff>
    </xdr:to>
    <xdr:sp macro="" textlink="CALCULS!B23">
      <xdr:nvSpPr>
        <xdr:cNvPr id="39" name="ZoneTexte 38">
          <a:extLst>
            <a:ext uri="{FF2B5EF4-FFF2-40B4-BE49-F238E27FC236}">
              <a16:creationId xmlns:a16="http://schemas.microsoft.com/office/drawing/2014/main" id="{E1E186FA-FE00-4209-8D6E-93236AB9C592}"/>
            </a:ext>
          </a:extLst>
        </xdr:cNvPr>
        <xdr:cNvSpPr txBox="1"/>
      </xdr:nvSpPr>
      <xdr:spPr>
        <a:xfrm>
          <a:off x="854870" y="404812"/>
          <a:ext cx="1216818" cy="330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F377A57-D503-4420-82FA-FECD81A81A4A}" type="TxLink">
            <a:rPr lang="en-US" sz="1800" b="1" i="0" u="none" strike="noStrike">
              <a:solidFill>
                <a:schemeClr val="accent6"/>
              </a:solidFill>
              <a:latin typeface="Calibri"/>
              <a:cs typeface="Calibri"/>
            </a:rPr>
            <a:pPr algn="ctr"/>
            <a:t>68</a:t>
          </a:fld>
          <a:endParaRPr lang="fr-FR" sz="1800" b="1">
            <a:solidFill>
              <a:schemeClr val="accent6"/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0.50751</cdr:x>
      <cdr:y>0.09967</cdr:y>
    </cdr:from>
    <cdr:to>
      <cdr:x>0.57234</cdr:x>
      <cdr:y>0.25371</cdr:y>
    </cdr:to>
    <cdr:pic>
      <cdr:nvPicPr>
        <cdr:cNvPr id="2" name="Graphique 20" descr="Femme avec un remplissage uni">
          <a:extLst xmlns:a="http://schemas.openxmlformats.org/drawingml/2006/main">
            <a:ext uri="{FF2B5EF4-FFF2-40B4-BE49-F238E27FC236}">
              <a16:creationId xmlns:a16="http://schemas.microsoft.com/office/drawing/2014/main" id="{814E9C8F-B0E0-4A55-B96D-7AC6D19738C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051175" y="261939"/>
          <a:ext cx="389733" cy="404812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0.46593</cdr:x>
      <cdr:y>0.09967</cdr:y>
    </cdr:from>
    <cdr:to>
      <cdr:x>0.53273</cdr:x>
      <cdr:y>0.24465</cdr:y>
    </cdr:to>
    <cdr:pic>
      <cdr:nvPicPr>
        <cdr:cNvPr id="3" name="Graphique 6" descr="Homme avec un remplissage uni">
          <a:extLst xmlns:a="http://schemas.openxmlformats.org/drawingml/2006/main">
            <a:ext uri="{FF2B5EF4-FFF2-40B4-BE49-F238E27FC236}">
              <a16:creationId xmlns:a16="http://schemas.microsoft.com/office/drawing/2014/main" id="{E89C48FD-195B-46A8-B99E-12A2A011A16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801144" y="261938"/>
          <a:ext cx="401639" cy="380999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2</xdr:row>
      <xdr:rowOff>180975</xdr:rowOff>
    </xdr:from>
    <xdr:to>
      <xdr:col>11</xdr:col>
      <xdr:colOff>723900</xdr:colOff>
      <xdr:row>20</xdr:row>
      <xdr:rowOff>38100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E4CD05CE-939E-4BC9-8F5D-6749CB615C83}"/>
            </a:ext>
          </a:extLst>
        </xdr:cNvPr>
        <xdr:cNvSpPr txBox="1"/>
      </xdr:nvSpPr>
      <xdr:spPr>
        <a:xfrm>
          <a:off x="2790825" y="561975"/>
          <a:ext cx="6315075" cy="32861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tx1">
              <a:lumMod val="95000"/>
              <a:lumOff val="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600" b="1">
              <a:solidFill>
                <a:schemeClr val="accent6"/>
              </a:solidFill>
              <a:latin typeface="Calibri" panose="020F0502020204030204" pitchFamily="34" charset="0"/>
              <a:cs typeface="Calibri" panose="020F0502020204030204" pitchFamily="34" charset="0"/>
            </a:rPr>
            <a:t>Interprétation  du tableau de bord RH</a:t>
          </a:r>
        </a:p>
        <a:p>
          <a:r>
            <a:rPr lang="fr-FR" sz="1600">
              <a:latin typeface="Calibri" panose="020F0502020204030204" pitchFamily="34" charset="0"/>
              <a:cs typeface="Calibri" panose="020F0502020204030204" pitchFamily="34" charset="0"/>
            </a:rPr>
            <a:t>Le tableau de bord met en évidence une entreprise en pleine croissance, composée de </a:t>
          </a:r>
          <a:r>
            <a:rPr lang="fr-FR" sz="1600" b="1">
              <a:latin typeface="Calibri" panose="020F0502020204030204" pitchFamily="34" charset="0"/>
              <a:cs typeface="Calibri" panose="020F0502020204030204" pitchFamily="34" charset="0"/>
            </a:rPr>
            <a:t>68 employés</a:t>
          </a:r>
          <a:r>
            <a:rPr lang="fr-FR" sz="1600">
              <a:latin typeface="Calibri" panose="020F0502020204030204" pitchFamily="34" charset="0"/>
              <a:cs typeface="Calibri" panose="020F0502020204030204" pitchFamily="34" charset="0"/>
            </a:rPr>
            <a:t> avec une </a:t>
          </a:r>
          <a:r>
            <a:rPr lang="fr-FR" sz="1600" b="1">
              <a:latin typeface="Calibri" panose="020F0502020204030204" pitchFamily="34" charset="0"/>
              <a:cs typeface="Calibri" panose="020F0502020204030204" pitchFamily="34" charset="0"/>
            </a:rPr>
            <a:t>moyenne d’âge de 37 ans</a:t>
          </a:r>
          <a:r>
            <a:rPr lang="fr-FR" sz="1600">
              <a:latin typeface="Calibri" panose="020F0502020204030204" pitchFamily="34" charset="0"/>
              <a:cs typeface="Calibri" panose="020F0502020204030204" pitchFamily="34" charset="0"/>
            </a:rPr>
            <a:t>. La </a:t>
          </a:r>
          <a:r>
            <a:rPr lang="fr-FR" sz="1600" b="1">
              <a:latin typeface="Calibri" panose="020F0502020204030204" pitchFamily="34" charset="0"/>
              <a:cs typeface="Calibri" panose="020F0502020204030204" pitchFamily="34" charset="0"/>
            </a:rPr>
            <a:t>parité hommes-femmes</a:t>
          </a:r>
          <a:r>
            <a:rPr lang="fr-FR" sz="1600">
              <a:latin typeface="Calibri" panose="020F0502020204030204" pitchFamily="34" charset="0"/>
              <a:cs typeface="Calibri" panose="020F0502020204030204" pitchFamily="34" charset="0"/>
            </a:rPr>
            <a:t> est globalement respectée (54 % d’hommes et 46 % de femmes). Les services </a:t>
          </a:r>
          <a:r>
            <a:rPr lang="fr-FR" sz="1600" b="1">
              <a:latin typeface="Calibri" panose="020F0502020204030204" pitchFamily="34" charset="0"/>
              <a:cs typeface="Calibri" panose="020F0502020204030204" pitchFamily="34" charset="0"/>
            </a:rPr>
            <a:t>Marketing, Développement</a:t>
          </a:r>
          <a:r>
            <a:rPr lang="fr-FR" sz="1600">
              <a:latin typeface="Calibri" panose="020F0502020204030204" pitchFamily="34" charset="0"/>
              <a:cs typeface="Calibri" panose="020F0502020204030204" pitchFamily="34" charset="0"/>
            </a:rPr>
            <a:t> et </a:t>
          </a:r>
          <a:r>
            <a:rPr lang="fr-FR" sz="1600" b="1">
              <a:latin typeface="Calibri" panose="020F0502020204030204" pitchFamily="34" charset="0"/>
              <a:cs typeface="Calibri" panose="020F0502020204030204" pitchFamily="34" charset="0"/>
            </a:rPr>
            <a:t>Produit</a:t>
          </a:r>
          <a:r>
            <a:rPr lang="fr-FR" sz="1600">
              <a:latin typeface="Calibri" panose="020F0502020204030204" pitchFamily="34" charset="0"/>
              <a:cs typeface="Calibri" panose="020F0502020204030204" pitchFamily="34" charset="0"/>
            </a:rPr>
            <a:t> concentrent la majorité des effectifs et génèrent les </a:t>
          </a:r>
          <a:r>
            <a:rPr lang="fr-FR" sz="1600" b="1">
              <a:latin typeface="Calibri" panose="020F0502020204030204" pitchFamily="34" charset="0"/>
              <a:cs typeface="Calibri" panose="020F0502020204030204" pitchFamily="34" charset="0"/>
            </a:rPr>
            <a:t>revenus les plus élevés</a:t>
          </a:r>
          <a:r>
            <a:rPr lang="fr-FR" sz="1600">
              <a:latin typeface="Calibri" panose="020F0502020204030204" pitchFamily="34" charset="0"/>
              <a:cs typeface="Calibri" panose="020F0502020204030204" pitchFamily="34" charset="0"/>
            </a:rPr>
            <a:t>, confirmant leur rôle stratégique dans la performance globale (revenu total de </a:t>
          </a:r>
          <a:r>
            <a:rPr lang="fr-FR" sz="1600" b="1">
              <a:latin typeface="Calibri" panose="020F0502020204030204" pitchFamily="34" charset="0"/>
              <a:cs typeface="Calibri" panose="020F0502020204030204" pitchFamily="34" charset="0"/>
            </a:rPr>
            <a:t>4 000 404 €</a:t>
          </a:r>
          <a:r>
            <a:rPr lang="fr-FR" sz="1600">
              <a:latin typeface="Calibri" panose="020F0502020204030204" pitchFamily="34" charset="0"/>
              <a:cs typeface="Calibri" panose="020F0502020204030204" pitchFamily="34" charset="0"/>
            </a:rPr>
            <a:t>, soit </a:t>
          </a:r>
          <a:r>
            <a:rPr lang="fr-FR" sz="1600" b="1">
              <a:latin typeface="Calibri" panose="020F0502020204030204" pitchFamily="34" charset="0"/>
              <a:cs typeface="Calibri" panose="020F0502020204030204" pitchFamily="34" charset="0"/>
            </a:rPr>
            <a:t>58 829 € par employé</a:t>
          </a:r>
          <a:r>
            <a:rPr lang="fr-FR" sz="1600">
              <a:latin typeface="Calibri" panose="020F0502020204030204" pitchFamily="34" charset="0"/>
              <a:cs typeface="Calibri" panose="020F0502020204030204" pitchFamily="34" charset="0"/>
            </a:rPr>
            <a:t>).</a:t>
          </a:r>
          <a:br>
            <a:rPr lang="fr-FR" sz="1600"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fr-FR" sz="1600">
              <a:latin typeface="Calibri" panose="020F0502020204030204" pitchFamily="34" charset="0"/>
              <a:cs typeface="Calibri" panose="020F0502020204030204" pitchFamily="34" charset="0"/>
            </a:rPr>
            <a:t>La </a:t>
          </a:r>
          <a:r>
            <a:rPr lang="fr-FR" sz="1600" b="1">
              <a:latin typeface="Calibri" panose="020F0502020204030204" pitchFamily="34" charset="0"/>
              <a:cs typeface="Calibri" panose="020F0502020204030204" pitchFamily="34" charset="0"/>
            </a:rPr>
            <a:t>forte hausse des recrutements en 2023</a:t>
          </a:r>
          <a:r>
            <a:rPr lang="fr-FR" sz="1600">
              <a:latin typeface="Calibri" panose="020F0502020204030204" pitchFamily="34" charset="0"/>
              <a:cs typeface="Calibri" panose="020F0502020204030204" pitchFamily="34" charset="0"/>
            </a:rPr>
            <a:t> traduit une </a:t>
          </a:r>
          <a:r>
            <a:rPr lang="fr-FR" sz="1600" b="1">
              <a:latin typeface="Calibri" panose="020F0502020204030204" pitchFamily="34" charset="0"/>
              <a:cs typeface="Calibri" panose="020F0502020204030204" pitchFamily="34" charset="0"/>
            </a:rPr>
            <a:t>dynamique de croissance et d’expansion</a:t>
          </a:r>
          <a:r>
            <a:rPr lang="fr-FR" sz="1600">
              <a:latin typeface="Calibri" panose="020F0502020204030204" pitchFamily="34" charset="0"/>
              <a:cs typeface="Calibri" panose="020F0502020204030204" pitchFamily="34" charset="0"/>
            </a:rPr>
            <a:t>, portée par une équipe </a:t>
          </a:r>
          <a:r>
            <a:rPr lang="fr-FR" sz="1600" b="1">
              <a:latin typeface="Calibri" panose="020F0502020204030204" pitchFamily="34" charset="0"/>
              <a:cs typeface="Calibri" panose="020F0502020204030204" pitchFamily="34" charset="0"/>
            </a:rPr>
            <a:t>jeune, polyvalente et orientée vers l’innovation</a:t>
          </a:r>
          <a:r>
            <a:rPr lang="fr-FR" sz="1600">
              <a:latin typeface="Calibri" panose="020F0502020204030204" pitchFamily="34" charset="0"/>
              <a:cs typeface="Calibri" panose="020F0502020204030204" pitchFamily="34" charset="0"/>
            </a:rPr>
            <a:t>.</a:t>
          </a:r>
        </a:p>
        <a:p>
          <a:endParaRPr lang="fr-F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CK COMPUTERS" refreshedDate="45971.989511342596" createdVersion="7" refreshedVersion="7" minRefreshableVersion="3" recordCount="68" xr:uid="{9D87EAA1-4116-4BA1-B734-6A5C9B7BF658}">
  <cacheSource type="worksheet">
    <worksheetSource name="Tableau1"/>
  </cacheSource>
  <cacheFields count="8">
    <cacheField name="Matricule" numFmtId="0">
      <sharedItems count="68">
        <s v="Norma H."/>
        <s v="Xavier E."/>
        <s v="Jean P."/>
        <s v="Félicie P."/>
        <s v="Sam H."/>
        <s v="Vincent K."/>
        <s v="Terry B."/>
        <s v="Samira O."/>
        <s v="Jade F."/>
        <s v="Guy K."/>
        <s v="Tim A."/>
        <s v="Laure F."/>
        <s v="Lorie K."/>
        <s v="Didiane G."/>
        <s v="Armand P."/>
        <s v="Frontino K."/>
        <s v="Damien E."/>
        <s v="Vernon H."/>
        <s v="Geoffrey C."/>
        <s v="Mélodie G."/>
        <s v="Aurélie P."/>
        <s v="Hélène B."/>
        <s v="Timothée P."/>
        <s v="Alicia B."/>
        <s v="Oscar V."/>
        <s v="Fletcher Q."/>
        <s v="Adélaïde E."/>
        <s v="Sylvain H."/>
        <s v="Djibril G."/>
        <s v="Geoffrey N."/>
        <s v="Sébastien T."/>
        <s v="Quentin O."/>
        <s v="Eric C."/>
        <s v="James A."/>
        <s v="Séverine G."/>
        <s v="Lalou F."/>
        <s v="Thaïs V."/>
        <s v="Sarah C."/>
        <s v="Vivien K."/>
        <s v="Vincent R."/>
        <s v="Thomas G."/>
        <s v="Heloïse A."/>
        <s v="Sarah G."/>
        <s v="Louise C."/>
        <s v="Gérard P."/>
        <s v="Patrick Q."/>
        <s v="Benoît C."/>
        <s v="Samia B."/>
        <s v="Amina H."/>
        <s v="Léo P."/>
        <s v="Rida F."/>
        <s v="Gaspard P."/>
        <s v="Mélanie H."/>
        <s v="Mélanie K."/>
        <s v="Pierre H."/>
        <s v="Emmanuel B."/>
        <s v="Lily B."/>
        <s v="Clémence B."/>
        <s v="Kim E."/>
        <s v="Ulrich V."/>
        <s v="Aminata L."/>
        <s v="Maëlle H."/>
        <s v="Clément U."/>
        <s v="Jérôme W."/>
        <s v="Géraldine F."/>
        <s v="Sandrine B."/>
        <s v="Simon S."/>
        <s v="Zoé K."/>
      </sharedItems>
    </cacheField>
    <cacheField name="Service" numFmtId="0">
      <sharedItems count="10">
        <s v="Produit"/>
        <s v="Marketing"/>
        <s v="RH"/>
        <s v="Développement"/>
        <s v="Finance"/>
        <s v="Stratégie"/>
        <s v="Commercial"/>
        <s v="Logistique"/>
        <s v="Autre"/>
        <s v="Juridique"/>
      </sharedItems>
    </cacheField>
    <cacheField name="Sexe" numFmtId="0">
      <sharedItems count="2">
        <s v="Femme"/>
        <s v="Homme"/>
      </sharedItems>
    </cacheField>
    <cacheField name="Age" numFmtId="0">
      <sharedItems containsSemiMixedTypes="0" containsString="0" containsNumber="1" containsInteger="1" minValue="19" maxValue="62" count="32">
        <n v="31"/>
        <n v="54"/>
        <n v="23"/>
        <n v="20"/>
        <n v="40"/>
        <n v="29"/>
        <n v="24"/>
        <n v="50"/>
        <n v="37"/>
        <n v="25"/>
        <n v="39"/>
        <n v="52"/>
        <n v="21"/>
        <n v="26"/>
        <n v="35"/>
        <n v="60"/>
        <n v="53"/>
        <n v="36"/>
        <n v="45"/>
        <n v="41"/>
        <n v="27"/>
        <n v="49"/>
        <n v="38"/>
        <n v="51"/>
        <n v="47"/>
        <n v="55"/>
        <n v="48"/>
        <n v="28"/>
        <n v="62"/>
        <n v="33"/>
        <n v="32"/>
        <n v="19"/>
      </sharedItems>
      <fieldGroup base="3">
        <rangePr autoStart="0" autoEnd="0" startNum="20" endNum="60" groupInterval="10"/>
        <groupItems count="6">
          <s v="&lt;20"/>
          <s v="20-29"/>
          <s v="30-39"/>
          <s v="40-49"/>
          <s v="50-60"/>
          <s v="&gt;60"/>
        </groupItems>
      </fieldGroup>
    </cacheField>
    <cacheField name="Date d'embauche" numFmtId="14">
      <sharedItems containsSemiMixedTypes="0" containsNonDate="0" containsDate="1" containsString="0" minDate="2016-04-04T00:00:00" maxDate="2023-06-06T00:00:00" count="55">
        <d v="2016-04-04T00:00:00"/>
        <d v="2016-06-20T00:00:00"/>
        <d v="2016-09-12T00:00:00"/>
        <d v="2017-01-16T00:00:00"/>
        <d v="2017-05-22T00:00:00"/>
        <d v="2017-08-28T00:00:00"/>
        <d v="2017-11-13T00:00:00"/>
        <d v="2018-01-22T00:00:00"/>
        <d v="2018-05-07T00:00:00"/>
        <d v="2018-07-09T00:00:00"/>
        <d v="2018-10-01T00:00:00"/>
        <d v="2018-12-03T00:00:00"/>
        <d v="2019-02-04T00:00:00"/>
        <d v="2019-04-29T00:00:00"/>
        <d v="2019-06-17T00:00:00"/>
        <d v="2019-09-23T00:00:00"/>
        <d v="2019-11-25T00:00:00"/>
        <d v="2020-02-10T00:00:00"/>
        <d v="2020-03-30T00:00:00"/>
        <d v="2020-06-01T00:00:00"/>
        <d v="2020-08-17T00:00:00"/>
        <d v="2020-10-26T00:00:00"/>
        <d v="2021-01-04T00:00:00"/>
        <d v="2021-02-15T00:00:00"/>
        <d v="2021-04-12T00:00:00"/>
        <d v="2021-06-21T00:00:00"/>
        <d v="2021-08-23T00:00:00"/>
        <d v="2021-11-01T00:00:00"/>
        <d v="2021-12-27T00:00:00"/>
        <d v="2022-02-21T00:00:00"/>
        <d v="2022-03-14T00:00:00"/>
        <d v="2022-05-02T00:00:00"/>
        <d v="2022-05-30T00:00:00"/>
        <d v="2022-07-04T00:00:00"/>
        <d v="2022-08-29T00:00:00"/>
        <d v="2022-09-19T00:00:00"/>
        <d v="2022-10-03T00:00:00"/>
        <d v="2022-10-31T00:00:00"/>
        <d v="2022-11-14T00:00:00"/>
        <d v="2022-12-12T00:00:00"/>
        <d v="2023-01-09T00:00:00"/>
        <d v="2023-01-16T00:00:00"/>
        <d v="2023-01-30T00:00:00"/>
        <d v="2023-02-13T00:00:00"/>
        <d v="2023-03-27T00:00:00"/>
        <d v="2023-05-08T00:00:00"/>
        <d v="2023-06-05T00:00:00"/>
        <d v="2023-05-29T00:00:00"/>
        <d v="2023-05-22T00:00:00"/>
        <d v="2023-05-15T00:00:00"/>
        <d v="2023-05-01T00:00:00"/>
        <d v="2023-04-10T00:00:00"/>
        <d v="2023-04-24T00:00:00"/>
        <d v="2023-04-03T00:00:00"/>
        <d v="2023-03-20T00:00:00"/>
      </sharedItems>
      <fieldGroup par="7" base="4">
        <rangePr groupBy="months" startDate="2016-04-04T00:00:00" endDate="2023-06-06T00:00:00"/>
        <groupItems count="14">
          <s v="&lt;04/04/2016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6/06/2023"/>
        </groupItems>
      </fieldGroup>
    </cacheField>
    <cacheField name="Rému." numFmtId="164">
      <sharedItems containsSemiMixedTypes="0" containsString="0" containsNumber="1" containsInteger="1" minValue="19548" maxValue="118669"/>
    </cacheField>
    <cacheField name="Trimestres" numFmtId="0" databaseField="0">
      <fieldGroup base="4">
        <rangePr groupBy="quarters" startDate="2016-04-04T00:00:00" endDate="2023-06-06T00:00:00"/>
        <groupItems count="6">
          <s v="&lt;04/04/2016"/>
          <s v="Trimestre1"/>
          <s v="Trimestre2"/>
          <s v="Trimestre3"/>
          <s v="Trimestre4"/>
          <s v="&gt;06/06/2023"/>
        </groupItems>
      </fieldGroup>
    </cacheField>
    <cacheField name="Années" numFmtId="0" databaseField="0">
      <fieldGroup base="4">
        <rangePr groupBy="years" startDate="2016-04-04T00:00:00" endDate="2023-06-06T00:00:00"/>
        <groupItems count="10">
          <s v="&lt;04/04/2016"/>
          <s v="2016"/>
          <s v="2017"/>
          <s v="2018"/>
          <s v="2019"/>
          <s v="2020"/>
          <s v="2021"/>
          <s v="2022"/>
          <s v="2023"/>
          <s v="&gt;06/06/2023"/>
        </groupItems>
      </fieldGroup>
    </cacheField>
  </cacheFields>
  <extLst>
    <ext xmlns:x14="http://schemas.microsoft.com/office/spreadsheetml/2009/9/main" uri="{725AE2AE-9491-48be-B2B4-4EB974FC3084}">
      <x14:pivotCacheDefinition pivotCacheId="16018028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x v="0"/>
    <x v="0"/>
    <x v="0"/>
    <x v="0"/>
    <x v="0"/>
    <n v="50025"/>
  </r>
  <r>
    <x v="1"/>
    <x v="0"/>
    <x v="1"/>
    <x v="1"/>
    <x v="1"/>
    <n v="86802"/>
  </r>
  <r>
    <x v="2"/>
    <x v="1"/>
    <x v="1"/>
    <x v="2"/>
    <x v="2"/>
    <n v="37261"/>
  </r>
  <r>
    <x v="3"/>
    <x v="2"/>
    <x v="0"/>
    <x v="3"/>
    <x v="3"/>
    <n v="28216"/>
  </r>
  <r>
    <x v="4"/>
    <x v="3"/>
    <x v="1"/>
    <x v="4"/>
    <x v="4"/>
    <n v="73100"/>
  </r>
  <r>
    <x v="5"/>
    <x v="4"/>
    <x v="1"/>
    <x v="5"/>
    <x v="5"/>
    <n v="35412"/>
  </r>
  <r>
    <x v="6"/>
    <x v="4"/>
    <x v="1"/>
    <x v="6"/>
    <x v="6"/>
    <n v="31528"/>
  </r>
  <r>
    <x v="7"/>
    <x v="1"/>
    <x v="0"/>
    <x v="7"/>
    <x v="7"/>
    <n v="65650"/>
  </r>
  <r>
    <x v="8"/>
    <x v="5"/>
    <x v="0"/>
    <x v="8"/>
    <x v="8"/>
    <n v="61543"/>
  </r>
  <r>
    <x v="9"/>
    <x v="6"/>
    <x v="1"/>
    <x v="4"/>
    <x v="9"/>
    <n v="74643"/>
  </r>
  <r>
    <x v="10"/>
    <x v="1"/>
    <x v="1"/>
    <x v="9"/>
    <x v="10"/>
    <n v="28378"/>
  </r>
  <r>
    <x v="11"/>
    <x v="6"/>
    <x v="0"/>
    <x v="10"/>
    <x v="11"/>
    <n v="71479"/>
  </r>
  <r>
    <x v="12"/>
    <x v="6"/>
    <x v="0"/>
    <x v="3"/>
    <x v="12"/>
    <n v="27084"/>
  </r>
  <r>
    <x v="13"/>
    <x v="5"/>
    <x v="0"/>
    <x v="11"/>
    <x v="13"/>
    <n v="77528"/>
  </r>
  <r>
    <x v="14"/>
    <x v="2"/>
    <x v="1"/>
    <x v="12"/>
    <x v="14"/>
    <n v="26932"/>
  </r>
  <r>
    <x v="15"/>
    <x v="1"/>
    <x v="1"/>
    <x v="6"/>
    <x v="15"/>
    <n v="24737"/>
  </r>
  <r>
    <x v="16"/>
    <x v="6"/>
    <x v="1"/>
    <x v="13"/>
    <x v="16"/>
    <n v="27788"/>
  </r>
  <r>
    <x v="17"/>
    <x v="4"/>
    <x v="1"/>
    <x v="14"/>
    <x v="17"/>
    <n v="46005"/>
  </r>
  <r>
    <x v="18"/>
    <x v="0"/>
    <x v="1"/>
    <x v="15"/>
    <x v="18"/>
    <n v="91176"/>
  </r>
  <r>
    <x v="19"/>
    <x v="7"/>
    <x v="0"/>
    <x v="9"/>
    <x v="19"/>
    <n v="42226"/>
  </r>
  <r>
    <x v="20"/>
    <x v="3"/>
    <x v="0"/>
    <x v="5"/>
    <x v="20"/>
    <n v="32802"/>
  </r>
  <r>
    <x v="21"/>
    <x v="8"/>
    <x v="0"/>
    <x v="16"/>
    <x v="21"/>
    <n v="82917"/>
  </r>
  <r>
    <x v="22"/>
    <x v="3"/>
    <x v="1"/>
    <x v="17"/>
    <x v="22"/>
    <n v="46334"/>
  </r>
  <r>
    <x v="23"/>
    <x v="2"/>
    <x v="0"/>
    <x v="8"/>
    <x v="23"/>
    <n v="64623"/>
  </r>
  <r>
    <x v="24"/>
    <x v="7"/>
    <x v="1"/>
    <x v="10"/>
    <x v="24"/>
    <n v="75615"/>
  </r>
  <r>
    <x v="25"/>
    <x v="5"/>
    <x v="1"/>
    <x v="18"/>
    <x v="25"/>
    <n v="59074"/>
  </r>
  <r>
    <x v="26"/>
    <x v="3"/>
    <x v="0"/>
    <x v="12"/>
    <x v="26"/>
    <n v="29693"/>
  </r>
  <r>
    <x v="27"/>
    <x v="7"/>
    <x v="1"/>
    <x v="19"/>
    <x v="27"/>
    <n v="66630"/>
  </r>
  <r>
    <x v="28"/>
    <x v="8"/>
    <x v="1"/>
    <x v="9"/>
    <x v="28"/>
    <n v="34340"/>
  </r>
  <r>
    <x v="29"/>
    <x v="3"/>
    <x v="1"/>
    <x v="14"/>
    <x v="29"/>
    <n v="46040"/>
  </r>
  <r>
    <x v="30"/>
    <x v="9"/>
    <x v="1"/>
    <x v="20"/>
    <x v="30"/>
    <n v="40679"/>
  </r>
  <r>
    <x v="31"/>
    <x v="1"/>
    <x v="1"/>
    <x v="8"/>
    <x v="31"/>
    <n v="52800"/>
  </r>
  <r>
    <x v="32"/>
    <x v="0"/>
    <x v="1"/>
    <x v="21"/>
    <x v="32"/>
    <n v="101290"/>
  </r>
  <r>
    <x v="33"/>
    <x v="0"/>
    <x v="1"/>
    <x v="5"/>
    <x v="33"/>
    <n v="40653"/>
  </r>
  <r>
    <x v="34"/>
    <x v="1"/>
    <x v="0"/>
    <x v="22"/>
    <x v="34"/>
    <n v="58209"/>
  </r>
  <r>
    <x v="35"/>
    <x v="2"/>
    <x v="0"/>
    <x v="11"/>
    <x v="35"/>
    <n v="76832"/>
  </r>
  <r>
    <x v="36"/>
    <x v="3"/>
    <x v="0"/>
    <x v="23"/>
    <x v="36"/>
    <n v="66994"/>
  </r>
  <r>
    <x v="37"/>
    <x v="4"/>
    <x v="0"/>
    <x v="11"/>
    <x v="37"/>
    <n v="107531"/>
  </r>
  <r>
    <x v="38"/>
    <x v="4"/>
    <x v="1"/>
    <x v="23"/>
    <x v="38"/>
    <n v="100981"/>
  </r>
  <r>
    <x v="39"/>
    <x v="1"/>
    <x v="1"/>
    <x v="15"/>
    <x v="39"/>
    <n v="118669"/>
  </r>
  <r>
    <x v="40"/>
    <x v="5"/>
    <x v="1"/>
    <x v="24"/>
    <x v="40"/>
    <n v="92332"/>
  </r>
  <r>
    <x v="41"/>
    <x v="6"/>
    <x v="0"/>
    <x v="6"/>
    <x v="40"/>
    <n v="38939"/>
  </r>
  <r>
    <x v="42"/>
    <x v="1"/>
    <x v="0"/>
    <x v="18"/>
    <x v="41"/>
    <n v="77293"/>
  </r>
  <r>
    <x v="43"/>
    <x v="6"/>
    <x v="0"/>
    <x v="25"/>
    <x v="41"/>
    <n v="84040"/>
  </r>
  <r>
    <x v="44"/>
    <x v="6"/>
    <x v="1"/>
    <x v="26"/>
    <x v="41"/>
    <n v="90824"/>
  </r>
  <r>
    <x v="45"/>
    <x v="5"/>
    <x v="1"/>
    <x v="14"/>
    <x v="42"/>
    <n v="57042"/>
  </r>
  <r>
    <x v="46"/>
    <x v="2"/>
    <x v="1"/>
    <x v="3"/>
    <x v="43"/>
    <n v="19548"/>
  </r>
  <r>
    <x v="47"/>
    <x v="1"/>
    <x v="0"/>
    <x v="8"/>
    <x v="44"/>
    <n v="65673"/>
  </r>
  <r>
    <x v="48"/>
    <x v="6"/>
    <x v="0"/>
    <x v="21"/>
    <x v="45"/>
    <n v="86243"/>
  </r>
  <r>
    <x v="49"/>
    <x v="4"/>
    <x v="1"/>
    <x v="10"/>
    <x v="46"/>
    <n v="64659"/>
  </r>
  <r>
    <x v="50"/>
    <x v="0"/>
    <x v="1"/>
    <x v="22"/>
    <x v="47"/>
    <n v="66771"/>
  </r>
  <r>
    <x v="51"/>
    <x v="7"/>
    <x v="1"/>
    <x v="27"/>
    <x v="48"/>
    <n v="30248"/>
  </r>
  <r>
    <x v="52"/>
    <x v="3"/>
    <x v="0"/>
    <x v="22"/>
    <x v="49"/>
    <n v="64890"/>
  </r>
  <r>
    <x v="53"/>
    <x v="8"/>
    <x v="0"/>
    <x v="28"/>
    <x v="49"/>
    <n v="103667"/>
  </r>
  <r>
    <x v="54"/>
    <x v="3"/>
    <x v="1"/>
    <x v="29"/>
    <x v="50"/>
    <n v="44782"/>
  </r>
  <r>
    <x v="55"/>
    <x v="5"/>
    <x v="1"/>
    <x v="30"/>
    <x v="51"/>
    <n v="39014"/>
  </r>
  <r>
    <x v="56"/>
    <x v="3"/>
    <x v="0"/>
    <x v="6"/>
    <x v="45"/>
    <n v="28980"/>
  </r>
  <r>
    <x v="57"/>
    <x v="7"/>
    <x v="0"/>
    <x v="9"/>
    <x v="49"/>
    <n v="41347"/>
  </r>
  <r>
    <x v="58"/>
    <x v="8"/>
    <x v="0"/>
    <x v="9"/>
    <x v="52"/>
    <n v="41157"/>
  </r>
  <r>
    <x v="59"/>
    <x v="3"/>
    <x v="1"/>
    <x v="13"/>
    <x v="53"/>
    <n v="28177"/>
  </r>
  <r>
    <x v="60"/>
    <x v="9"/>
    <x v="0"/>
    <x v="24"/>
    <x v="54"/>
    <n v="82180"/>
  </r>
  <r>
    <x v="61"/>
    <x v="1"/>
    <x v="0"/>
    <x v="23"/>
    <x v="54"/>
    <n v="104275"/>
  </r>
  <r>
    <x v="62"/>
    <x v="0"/>
    <x v="1"/>
    <x v="9"/>
    <x v="51"/>
    <n v="31912"/>
  </r>
  <r>
    <x v="63"/>
    <x v="0"/>
    <x v="1"/>
    <x v="31"/>
    <x v="52"/>
    <n v="26685"/>
  </r>
  <r>
    <x v="64"/>
    <x v="1"/>
    <x v="0"/>
    <x v="23"/>
    <x v="49"/>
    <n v="84718"/>
  </r>
  <r>
    <x v="65"/>
    <x v="2"/>
    <x v="0"/>
    <x v="29"/>
    <x v="48"/>
    <n v="56777"/>
  </r>
  <r>
    <x v="66"/>
    <x v="3"/>
    <x v="1"/>
    <x v="26"/>
    <x v="52"/>
    <n v="90548"/>
  </r>
  <r>
    <x v="67"/>
    <x v="4"/>
    <x v="0"/>
    <x v="8"/>
    <x v="53"/>
    <n v="474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6C6841-695A-4A3D-A72C-6900F3201992}" name="Tableau croisé dynamique5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27" rowHeaderCaption="Service">
  <location ref="O18:P27" firstHeaderRow="1" firstDataRow="1" firstDataCol="1"/>
  <pivotFields count="8">
    <pivotField dataField="1" showAll="0">
      <items count="69">
        <item x="26"/>
        <item x="23"/>
        <item x="48"/>
        <item x="60"/>
        <item x="14"/>
        <item x="20"/>
        <item x="46"/>
        <item x="57"/>
        <item x="62"/>
        <item x="16"/>
        <item x="13"/>
        <item x="28"/>
        <item x="55"/>
        <item x="32"/>
        <item x="3"/>
        <item x="25"/>
        <item x="15"/>
        <item x="51"/>
        <item x="18"/>
        <item x="29"/>
        <item x="64"/>
        <item x="44"/>
        <item x="9"/>
        <item x="21"/>
        <item x="41"/>
        <item x="8"/>
        <item x="33"/>
        <item x="2"/>
        <item x="63"/>
        <item x="58"/>
        <item x="35"/>
        <item x="11"/>
        <item x="49"/>
        <item x="56"/>
        <item x="12"/>
        <item x="43"/>
        <item x="61"/>
        <item x="52"/>
        <item x="53"/>
        <item x="19"/>
        <item x="0"/>
        <item x="24"/>
        <item x="45"/>
        <item x="54"/>
        <item x="31"/>
        <item x="50"/>
        <item x="4"/>
        <item x="47"/>
        <item x="7"/>
        <item x="65"/>
        <item x="37"/>
        <item x="42"/>
        <item x="30"/>
        <item x="34"/>
        <item x="66"/>
        <item x="27"/>
        <item x="6"/>
        <item x="36"/>
        <item x="40"/>
        <item x="10"/>
        <item x="22"/>
        <item x="59"/>
        <item x="17"/>
        <item x="5"/>
        <item x="39"/>
        <item x="38"/>
        <item x="1"/>
        <item x="67"/>
        <item t="default"/>
      </items>
    </pivotField>
    <pivotField showAll="0">
      <items count="11">
        <item x="6"/>
        <item x="3"/>
        <item x="4"/>
        <item x="9"/>
        <item x="7"/>
        <item x="1"/>
        <item x="0"/>
        <item x="2"/>
        <item x="5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</pivotField>
  </pivotFields>
  <rowFields count="3">
    <field x="7"/>
    <field x="6"/>
    <field x="4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effectif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C8F87-054A-4F57-89B2-C7945B6B0CC8}" name="Tableau croisé dynamique1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26" rowHeaderCaption="Service">
  <location ref="O11:P14" firstHeaderRow="1" firstDataRow="1" firstDataCol="1"/>
  <pivotFields count="8">
    <pivotField dataField="1" showAll="0">
      <items count="69">
        <item x="26"/>
        <item x="23"/>
        <item x="48"/>
        <item x="60"/>
        <item x="14"/>
        <item x="20"/>
        <item x="46"/>
        <item x="57"/>
        <item x="62"/>
        <item x="16"/>
        <item x="13"/>
        <item x="28"/>
        <item x="55"/>
        <item x="32"/>
        <item x="3"/>
        <item x="25"/>
        <item x="15"/>
        <item x="51"/>
        <item x="18"/>
        <item x="29"/>
        <item x="64"/>
        <item x="44"/>
        <item x="9"/>
        <item x="21"/>
        <item x="41"/>
        <item x="8"/>
        <item x="33"/>
        <item x="2"/>
        <item x="63"/>
        <item x="58"/>
        <item x="35"/>
        <item x="11"/>
        <item x="49"/>
        <item x="56"/>
        <item x="12"/>
        <item x="43"/>
        <item x="61"/>
        <item x="52"/>
        <item x="53"/>
        <item x="19"/>
        <item x="0"/>
        <item x="24"/>
        <item x="45"/>
        <item x="54"/>
        <item x="31"/>
        <item x="50"/>
        <item x="4"/>
        <item x="47"/>
        <item x="7"/>
        <item x="65"/>
        <item x="37"/>
        <item x="42"/>
        <item x="30"/>
        <item x="34"/>
        <item x="66"/>
        <item x="27"/>
        <item x="6"/>
        <item x="36"/>
        <item x="40"/>
        <item x="10"/>
        <item x="22"/>
        <item x="59"/>
        <item x="17"/>
        <item x="5"/>
        <item x="39"/>
        <item x="38"/>
        <item x="1"/>
        <item x="67"/>
        <item t="default"/>
      </items>
    </pivotField>
    <pivotField showAll="0">
      <items count="11">
        <item x="6"/>
        <item x="3"/>
        <item x="4"/>
        <item x="9"/>
        <item x="7"/>
        <item x="1"/>
        <item x="0"/>
        <item x="2"/>
        <item x="5"/>
        <item x="8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Nombre de Matricule" fld="0" subtotal="count" baseField="0" baseItem="0"/>
  </dataFields>
  <chartFormats count="3"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9E8C4-AE6E-4E7F-8B18-B15A00E10A92}" name="Tableau croisé dynamique2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rowHeaderCaption="Service">
  <location ref="B9:F20" firstHeaderRow="0" firstDataRow="1" firstDataCol="1"/>
  <pivotFields count="8">
    <pivotField dataField="1" showAll="0">
      <items count="69">
        <item x="26"/>
        <item x="23"/>
        <item x="48"/>
        <item x="60"/>
        <item x="14"/>
        <item x="20"/>
        <item x="46"/>
        <item x="57"/>
        <item x="62"/>
        <item x="16"/>
        <item x="13"/>
        <item x="28"/>
        <item x="55"/>
        <item x="32"/>
        <item x="3"/>
        <item x="25"/>
        <item x="15"/>
        <item x="51"/>
        <item x="18"/>
        <item x="29"/>
        <item x="64"/>
        <item x="44"/>
        <item x="9"/>
        <item x="21"/>
        <item x="41"/>
        <item x="8"/>
        <item x="33"/>
        <item x="2"/>
        <item x="63"/>
        <item x="58"/>
        <item x="35"/>
        <item x="11"/>
        <item x="49"/>
        <item x="56"/>
        <item x="12"/>
        <item x="43"/>
        <item x="61"/>
        <item x="52"/>
        <item x="53"/>
        <item x="19"/>
        <item x="0"/>
        <item x="24"/>
        <item x="45"/>
        <item x="54"/>
        <item x="31"/>
        <item x="50"/>
        <item x="4"/>
        <item x="47"/>
        <item x="7"/>
        <item x="65"/>
        <item x="37"/>
        <item x="42"/>
        <item x="30"/>
        <item x="34"/>
        <item x="66"/>
        <item x="27"/>
        <item x="6"/>
        <item x="36"/>
        <item x="40"/>
        <item x="10"/>
        <item x="22"/>
        <item x="59"/>
        <item x="17"/>
        <item x="5"/>
        <item x="39"/>
        <item x="38"/>
        <item x="1"/>
        <item x="67"/>
        <item t="default"/>
      </items>
    </pivotField>
    <pivotField axis="axisRow" showAll="0">
      <items count="11">
        <item x="6"/>
        <item x="3"/>
        <item x="4"/>
        <item x="9"/>
        <item x="7"/>
        <item x="1"/>
        <item x="0"/>
        <item x="2"/>
        <item x="5"/>
        <item x="8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7">
        <item x="0"/>
        <item x="1"/>
        <item x="2"/>
        <item x="3"/>
        <item x="4"/>
        <item x="5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64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effectif" fld="0" subtotal="count" baseField="0" baseItem="0"/>
    <dataField name="Age moyen" fld="3" subtotal="average" baseField="0" baseItem="0" numFmtId="1"/>
    <dataField name="Revenu moyen" fld="5" subtotal="average" baseField="0" baseItem="0" numFmtId="164"/>
    <dataField name="Revenu total" fld="5" baseField="0" baseItem="0" numFmtId="164"/>
  </dataFields>
  <formats count="4">
    <format dxfId="3">
      <pivotArea collapsedLevelsAreSubtotals="1" fieldPosition="0">
        <references count="2">
          <reference field="4294967294" count="3" selected="0">
            <x v="1"/>
            <x v="2"/>
            <x v="3"/>
          </reference>
          <reference field="1" count="0"/>
        </references>
      </pivotArea>
    </format>
    <format dxfId="2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1">
      <pivotArea outline="0" fieldPosition="0">
        <references count="1">
          <reference field="4294967294" count="1">
            <x v="2"/>
          </reference>
        </references>
      </pivotArea>
    </format>
    <format dxfId="0">
      <pivotArea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9217B5-40FC-453A-BAB9-A590E7864CFA}" name="Tableau croisé dynamique4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2" rowHeaderCaption="Service">
  <location ref="L9:M20" firstHeaderRow="1" firstDataRow="1" firstDataCol="1"/>
  <pivotFields count="8">
    <pivotField showAll="0">
      <items count="69">
        <item x="26"/>
        <item x="23"/>
        <item x="48"/>
        <item x="60"/>
        <item x="14"/>
        <item x="20"/>
        <item x="46"/>
        <item x="57"/>
        <item x="62"/>
        <item x="16"/>
        <item x="13"/>
        <item x="28"/>
        <item x="55"/>
        <item x="32"/>
        <item x="3"/>
        <item x="25"/>
        <item x="15"/>
        <item x="51"/>
        <item x="18"/>
        <item x="29"/>
        <item x="64"/>
        <item x="44"/>
        <item x="9"/>
        <item x="21"/>
        <item x="41"/>
        <item x="8"/>
        <item x="33"/>
        <item x="2"/>
        <item x="63"/>
        <item x="58"/>
        <item x="35"/>
        <item x="11"/>
        <item x="49"/>
        <item x="56"/>
        <item x="12"/>
        <item x="43"/>
        <item x="61"/>
        <item x="52"/>
        <item x="53"/>
        <item x="19"/>
        <item x="0"/>
        <item x="24"/>
        <item x="45"/>
        <item x="54"/>
        <item x="31"/>
        <item x="50"/>
        <item x="4"/>
        <item x="47"/>
        <item x="7"/>
        <item x="65"/>
        <item x="37"/>
        <item x="42"/>
        <item x="30"/>
        <item x="34"/>
        <item x="66"/>
        <item x="27"/>
        <item x="6"/>
        <item x="36"/>
        <item x="40"/>
        <item x="10"/>
        <item x="22"/>
        <item x="59"/>
        <item x="17"/>
        <item x="5"/>
        <item x="39"/>
        <item x="38"/>
        <item x="1"/>
        <item x="67"/>
        <item t="default"/>
      </items>
    </pivotField>
    <pivotField axis="axisRow" showAll="0">
      <items count="11">
        <item x="6"/>
        <item x="3"/>
        <item x="4"/>
        <item x="9"/>
        <item x="7"/>
        <item x="1"/>
        <item x="0"/>
        <item x="2"/>
        <item x="5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64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Revenu total" fld="5" baseField="0" baseItem="0" numFmtId="164"/>
  </dataFields>
  <formats count="3">
    <format dxfId="6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6B57C-2AD8-448C-8E07-3CA5AEBE37BA}" name="Tableau croisé dynamique3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5" rowHeaderCaption="Service">
  <location ref="I9:J20" firstHeaderRow="1" firstDataRow="1" firstDataCol="1"/>
  <pivotFields count="8">
    <pivotField dataField="1" showAll="0">
      <items count="69">
        <item x="26"/>
        <item x="23"/>
        <item x="48"/>
        <item x="60"/>
        <item x="14"/>
        <item x="20"/>
        <item x="46"/>
        <item x="57"/>
        <item x="62"/>
        <item x="16"/>
        <item x="13"/>
        <item x="28"/>
        <item x="55"/>
        <item x="32"/>
        <item x="3"/>
        <item x="25"/>
        <item x="15"/>
        <item x="51"/>
        <item x="18"/>
        <item x="29"/>
        <item x="64"/>
        <item x="44"/>
        <item x="9"/>
        <item x="21"/>
        <item x="41"/>
        <item x="8"/>
        <item x="33"/>
        <item x="2"/>
        <item x="63"/>
        <item x="58"/>
        <item x="35"/>
        <item x="11"/>
        <item x="49"/>
        <item x="56"/>
        <item x="12"/>
        <item x="43"/>
        <item x="61"/>
        <item x="52"/>
        <item x="53"/>
        <item x="19"/>
        <item x="0"/>
        <item x="24"/>
        <item x="45"/>
        <item x="54"/>
        <item x="31"/>
        <item x="50"/>
        <item x="4"/>
        <item x="47"/>
        <item x="7"/>
        <item x="65"/>
        <item x="37"/>
        <item x="42"/>
        <item x="30"/>
        <item x="34"/>
        <item x="66"/>
        <item x="27"/>
        <item x="6"/>
        <item x="36"/>
        <item x="40"/>
        <item x="10"/>
        <item x="22"/>
        <item x="59"/>
        <item x="17"/>
        <item x="5"/>
        <item x="39"/>
        <item x="38"/>
        <item x="1"/>
        <item x="67"/>
        <item t="default"/>
      </items>
    </pivotField>
    <pivotField axis="axisRow" showAll="0">
      <items count="11">
        <item x="6"/>
        <item x="3"/>
        <item x="4"/>
        <item x="9"/>
        <item x="7"/>
        <item x="1"/>
        <item x="0"/>
        <item x="2"/>
        <item x="5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effectif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DF69BC-03C5-43ED-B721-D1AAF1018F91}" name="Tableau croisé dynamique7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26" rowHeaderCaption="Service" colHeaderCaption="SEXE">
  <location ref="S17:V25" firstHeaderRow="1" firstDataRow="2" firstDataCol="1"/>
  <pivotFields count="8">
    <pivotField dataField="1" showAll="0">
      <items count="69">
        <item x="26"/>
        <item x="23"/>
        <item x="48"/>
        <item x="60"/>
        <item x="14"/>
        <item x="20"/>
        <item x="46"/>
        <item x="57"/>
        <item x="62"/>
        <item x="16"/>
        <item x="13"/>
        <item x="28"/>
        <item x="55"/>
        <item x="32"/>
        <item x="3"/>
        <item x="25"/>
        <item x="15"/>
        <item x="51"/>
        <item x="18"/>
        <item x="29"/>
        <item x="64"/>
        <item x="44"/>
        <item x="9"/>
        <item x="21"/>
        <item x="41"/>
        <item x="8"/>
        <item x="33"/>
        <item x="2"/>
        <item x="63"/>
        <item x="58"/>
        <item x="35"/>
        <item x="11"/>
        <item x="49"/>
        <item x="56"/>
        <item x="12"/>
        <item x="43"/>
        <item x="61"/>
        <item x="52"/>
        <item x="53"/>
        <item x="19"/>
        <item x="0"/>
        <item x="24"/>
        <item x="45"/>
        <item x="54"/>
        <item x="31"/>
        <item x="50"/>
        <item x="4"/>
        <item x="47"/>
        <item x="7"/>
        <item x="65"/>
        <item x="37"/>
        <item x="42"/>
        <item x="30"/>
        <item x="34"/>
        <item x="66"/>
        <item x="27"/>
        <item x="6"/>
        <item x="36"/>
        <item x="40"/>
        <item x="10"/>
        <item x="22"/>
        <item x="59"/>
        <item x="17"/>
        <item x="5"/>
        <item x="39"/>
        <item x="38"/>
        <item x="1"/>
        <item x="67"/>
        <item t="default"/>
      </items>
    </pivotField>
    <pivotField showAll="0">
      <items count="11">
        <item x="6"/>
        <item x="3"/>
        <item x="4"/>
        <item x="9"/>
        <item x="7"/>
        <item x="1"/>
        <item x="0"/>
        <item x="2"/>
        <item x="5"/>
        <item x="8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Nombre de Matricule" fld="0" subtotal="count" baseField="0" baseItem="0"/>
  </dataFields>
  <chartFormats count="8">
    <chartFormat chart="19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9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5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5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036B3-4B0C-4B08-AC46-6963D287C296}" name="Tableau croisé dynamique6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5" rowHeaderCaption="">
  <location ref="L23:N40" firstHeaderRow="1" firstDataRow="1" firstDataCol="0"/>
  <pivotFields count="8">
    <pivotField showAll="0">
      <items count="69">
        <item x="26"/>
        <item x="23"/>
        <item x="48"/>
        <item x="60"/>
        <item x="14"/>
        <item x="20"/>
        <item x="46"/>
        <item x="57"/>
        <item x="62"/>
        <item x="16"/>
        <item x="13"/>
        <item x="28"/>
        <item x="55"/>
        <item x="32"/>
        <item x="3"/>
        <item x="25"/>
        <item x="15"/>
        <item x="51"/>
        <item x="18"/>
        <item x="29"/>
        <item x="64"/>
        <item x="44"/>
        <item x="9"/>
        <item x="21"/>
        <item x="41"/>
        <item x="8"/>
        <item x="33"/>
        <item x="2"/>
        <item x="63"/>
        <item x="58"/>
        <item x="35"/>
        <item x="11"/>
        <item x="49"/>
        <item x="56"/>
        <item x="12"/>
        <item x="43"/>
        <item x="61"/>
        <item x="52"/>
        <item x="53"/>
        <item x="19"/>
        <item x="0"/>
        <item x="24"/>
        <item x="45"/>
        <item x="54"/>
        <item x="31"/>
        <item x="50"/>
        <item x="4"/>
        <item x="47"/>
        <item x="7"/>
        <item x="65"/>
        <item x="37"/>
        <item x="42"/>
        <item x="30"/>
        <item x="34"/>
        <item x="66"/>
        <item x="27"/>
        <item x="6"/>
        <item x="36"/>
        <item x="40"/>
        <item x="10"/>
        <item x="22"/>
        <item x="59"/>
        <item x="17"/>
        <item x="5"/>
        <item x="39"/>
        <item x="38"/>
        <item x="1"/>
        <item x="67"/>
        <item t="default"/>
      </items>
    </pivotField>
    <pivotField showAll="0">
      <items count="11">
        <item x="6"/>
        <item x="3"/>
        <item x="4"/>
        <item x="9"/>
        <item x="7"/>
        <item x="1"/>
        <item x="0"/>
        <item x="2"/>
        <item x="5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rvice" xr10:uid="{231B4824-FCA1-4403-95BE-12175DBC49F2}" sourceName="Service">
  <pivotTables>
    <pivotTable tabId="6" name="Tableau croisé dynamique2"/>
    <pivotTable tabId="6" name="Tableau croisé dynamique3"/>
    <pivotTable tabId="6" name="Tableau croisé dynamique4"/>
    <pivotTable tabId="6" name="Tableau croisé dynamique1"/>
    <pivotTable tabId="6" name="Tableau croisé dynamique5"/>
    <pivotTable tabId="6" name="Tableau croisé dynamique6"/>
    <pivotTable tabId="6" name="Tableau croisé dynamique7"/>
  </pivotTables>
  <data>
    <tabular pivotCacheId="1601802872">
      <items count="10">
        <i x="8" s="1"/>
        <i x="6" s="1"/>
        <i x="3" s="1"/>
        <i x="4" s="1"/>
        <i x="9" s="1"/>
        <i x="7" s="1"/>
        <i x="1" s="1"/>
        <i x="0" s="1"/>
        <i x="2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xe" xr10:uid="{16308ACE-7E9F-45F2-9076-E922268A29EC}" sourceName="Sexe">
  <pivotTables>
    <pivotTable tabId="6" name="Tableau croisé dynamique2"/>
    <pivotTable tabId="6" name="Tableau croisé dynamique3"/>
    <pivotTable tabId="6" name="Tableau croisé dynamique4"/>
    <pivotTable tabId="6" name="Tableau croisé dynamique1"/>
    <pivotTable tabId="6" name="Tableau croisé dynamique5"/>
    <pivotTable tabId="6" name="Tableau croisé dynamique6"/>
  </pivotTables>
  <data>
    <tabular pivotCacheId="1601802872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ice 1" xr10:uid="{BD144FD0-301D-45EC-8B3E-E8381E621C27}" cache="Segment_Service" caption="Service" style="SlicerStyleDark3" rowHeight="241300"/>
  <slicer name="Sexe 1" xr10:uid="{25EC5788-2155-41A4-8077-BF7B09B1EC27}" cache="Segment_Sexe" caption="Sexe" style="SlicerStyleDark3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3FB567-5DA9-4FA9-80D7-DC1F97121642}" name="Tableau1" displayName="Tableau1" ref="B2:G70" totalsRowShown="0" headerRowDxfId="13">
  <autoFilter ref="B2:G70" xr:uid="{0B3FB567-5DA9-4FA9-80D7-DC1F971216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3747B8D-29FB-4E52-8DA0-B7B8077BA089}" name="Matricule" dataDxfId="12"/>
    <tableColumn id="2" xr3:uid="{89B7730D-B4A5-49B8-A266-815E398EC3F1}" name="Service" dataDxfId="11"/>
    <tableColumn id="3" xr3:uid="{C6C139FC-9413-41BB-B285-E1D6D23D493E}" name="Sexe" dataDxfId="10"/>
    <tableColumn id="4" xr3:uid="{A7A27F53-DC31-4BDC-8E23-9E28DC97E15D}" name="Age" dataDxfId="9"/>
    <tableColumn id="8" xr3:uid="{26DF4E2C-C3DD-48FB-A829-C8801B2496CE}" name="Date d'embauche" dataDxfId="8"/>
    <tableColumn id="5" xr3:uid="{B4EEA0CB-ABCF-4183-9741-4D00EAE0B561}" name="Rému.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eu vert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ADD0-AEF5-4042-96F4-02CB2AE03AFA}">
  <sheetPr>
    <tabColor theme="6"/>
  </sheetPr>
  <dimension ref="B2:O70"/>
  <sheetViews>
    <sheetView zoomScale="80" zoomScaleNormal="80" workbookViewId="0">
      <pane ySplit="2" topLeftCell="A3" activePane="bottomLeft" state="frozen"/>
      <selection activeCell="B27" sqref="B27"/>
      <selection pane="bottomLeft" activeCell="C3" sqref="C3"/>
    </sheetView>
  </sheetViews>
  <sheetFormatPr baseColWidth="10" defaultRowHeight="15" x14ac:dyDescent="0.25"/>
  <cols>
    <col min="1" max="1" width="3.7109375" customWidth="1"/>
    <col min="2" max="7" width="20.140625" customWidth="1"/>
    <col min="8" max="8" width="3.7109375" customWidth="1"/>
  </cols>
  <sheetData>
    <row r="2" spans="2:15" ht="45" customHeight="1" x14ac:dyDescent="0.25">
      <c r="B2" s="5" t="s">
        <v>0</v>
      </c>
      <c r="C2" s="5" t="s">
        <v>1</v>
      </c>
      <c r="D2" s="5" t="s">
        <v>2</v>
      </c>
      <c r="E2" s="5" t="s">
        <v>3</v>
      </c>
      <c r="F2" s="5" t="s">
        <v>85</v>
      </c>
      <c r="G2" s="5" t="s">
        <v>4</v>
      </c>
      <c r="N2" s="7"/>
      <c r="O2" s="8"/>
    </row>
    <row r="3" spans="2:15" x14ac:dyDescent="0.25">
      <c r="B3" s="1" t="s">
        <v>5</v>
      </c>
      <c r="C3" s="2" t="s">
        <v>6</v>
      </c>
      <c r="D3" s="2" t="s">
        <v>7</v>
      </c>
      <c r="E3" s="3">
        <v>31</v>
      </c>
      <c r="F3" s="6">
        <v>42464</v>
      </c>
      <c r="G3" s="4">
        <v>50025</v>
      </c>
    </row>
    <row r="4" spans="2:15" x14ac:dyDescent="0.25">
      <c r="B4" s="1" t="s">
        <v>8</v>
      </c>
      <c r="C4" s="2" t="s">
        <v>6</v>
      </c>
      <c r="D4" s="2" t="s">
        <v>9</v>
      </c>
      <c r="E4" s="3">
        <v>54</v>
      </c>
      <c r="F4" s="6">
        <v>42541</v>
      </c>
      <c r="G4" s="4">
        <v>86802</v>
      </c>
    </row>
    <row r="5" spans="2:15" x14ac:dyDescent="0.25">
      <c r="B5" s="1" t="s">
        <v>10</v>
      </c>
      <c r="C5" s="2" t="s">
        <v>11</v>
      </c>
      <c r="D5" s="2" t="s">
        <v>9</v>
      </c>
      <c r="E5" s="3">
        <v>23</v>
      </c>
      <c r="F5" s="6">
        <v>42625</v>
      </c>
      <c r="G5" s="4">
        <v>37261</v>
      </c>
    </row>
    <row r="6" spans="2:15" x14ac:dyDescent="0.25">
      <c r="B6" s="1" t="s">
        <v>12</v>
      </c>
      <c r="C6" s="2" t="s">
        <v>13</v>
      </c>
      <c r="D6" s="2" t="s">
        <v>7</v>
      </c>
      <c r="E6" s="3">
        <v>20</v>
      </c>
      <c r="F6" s="6">
        <v>42751</v>
      </c>
      <c r="G6" s="4">
        <v>28216</v>
      </c>
    </row>
    <row r="7" spans="2:15" x14ac:dyDescent="0.25">
      <c r="B7" s="1" t="s">
        <v>14</v>
      </c>
      <c r="C7" s="2" t="s">
        <v>84</v>
      </c>
      <c r="D7" s="2" t="s">
        <v>9</v>
      </c>
      <c r="E7" s="3">
        <v>40</v>
      </c>
      <c r="F7" s="6">
        <v>42877</v>
      </c>
      <c r="G7" s="4">
        <v>73100</v>
      </c>
    </row>
    <row r="8" spans="2:15" x14ac:dyDescent="0.25">
      <c r="B8" s="1" t="s">
        <v>15</v>
      </c>
      <c r="C8" s="2" t="s">
        <v>16</v>
      </c>
      <c r="D8" s="2" t="s">
        <v>9</v>
      </c>
      <c r="E8" s="3">
        <v>29</v>
      </c>
      <c r="F8" s="6">
        <v>42975</v>
      </c>
      <c r="G8" s="4">
        <v>35412</v>
      </c>
    </row>
    <row r="9" spans="2:15" x14ac:dyDescent="0.25">
      <c r="B9" s="1" t="s">
        <v>17</v>
      </c>
      <c r="C9" s="2" t="s">
        <v>16</v>
      </c>
      <c r="D9" s="2" t="s">
        <v>9</v>
      </c>
      <c r="E9" s="3">
        <v>24</v>
      </c>
      <c r="F9" s="6">
        <v>43052</v>
      </c>
      <c r="G9" s="4">
        <v>31528</v>
      </c>
    </row>
    <row r="10" spans="2:15" x14ac:dyDescent="0.25">
      <c r="B10" s="1" t="s">
        <v>18</v>
      </c>
      <c r="C10" s="2" t="s">
        <v>11</v>
      </c>
      <c r="D10" s="2" t="s">
        <v>7</v>
      </c>
      <c r="E10" s="3">
        <v>50</v>
      </c>
      <c r="F10" s="6">
        <v>43122</v>
      </c>
      <c r="G10" s="4">
        <v>65650</v>
      </c>
    </row>
    <row r="11" spans="2:15" x14ac:dyDescent="0.25">
      <c r="B11" s="1" t="s">
        <v>19</v>
      </c>
      <c r="C11" s="2" t="s">
        <v>20</v>
      </c>
      <c r="D11" s="2" t="s">
        <v>7</v>
      </c>
      <c r="E11" s="3">
        <v>37</v>
      </c>
      <c r="F11" s="6">
        <v>43227</v>
      </c>
      <c r="G11" s="4">
        <v>61543</v>
      </c>
    </row>
    <row r="12" spans="2:15" x14ac:dyDescent="0.25">
      <c r="B12" s="1" t="s">
        <v>21</v>
      </c>
      <c r="C12" s="2" t="s">
        <v>22</v>
      </c>
      <c r="D12" s="2" t="s">
        <v>9</v>
      </c>
      <c r="E12" s="3">
        <v>40</v>
      </c>
      <c r="F12" s="6">
        <v>43290</v>
      </c>
      <c r="G12" s="4">
        <v>74643</v>
      </c>
    </row>
    <row r="13" spans="2:15" x14ac:dyDescent="0.25">
      <c r="B13" s="1" t="s">
        <v>23</v>
      </c>
      <c r="C13" s="2" t="s">
        <v>11</v>
      </c>
      <c r="D13" s="2" t="s">
        <v>9</v>
      </c>
      <c r="E13" s="3">
        <v>25</v>
      </c>
      <c r="F13" s="6">
        <v>43374</v>
      </c>
      <c r="G13" s="4">
        <v>28378</v>
      </c>
    </row>
    <row r="14" spans="2:15" x14ac:dyDescent="0.25">
      <c r="B14" s="1" t="s">
        <v>24</v>
      </c>
      <c r="C14" s="2" t="s">
        <v>22</v>
      </c>
      <c r="D14" s="2" t="s">
        <v>7</v>
      </c>
      <c r="E14" s="3">
        <v>39</v>
      </c>
      <c r="F14" s="6">
        <v>43437</v>
      </c>
      <c r="G14" s="4">
        <v>71479</v>
      </c>
    </row>
    <row r="15" spans="2:15" x14ac:dyDescent="0.25">
      <c r="B15" s="1" t="s">
        <v>25</v>
      </c>
      <c r="C15" s="2" t="s">
        <v>22</v>
      </c>
      <c r="D15" s="2" t="s">
        <v>7</v>
      </c>
      <c r="E15" s="3">
        <v>20</v>
      </c>
      <c r="F15" s="6">
        <v>43500</v>
      </c>
      <c r="G15" s="4">
        <v>27084</v>
      </c>
    </row>
    <row r="16" spans="2:15" x14ac:dyDescent="0.25">
      <c r="B16" s="1" t="s">
        <v>26</v>
      </c>
      <c r="C16" s="2" t="s">
        <v>20</v>
      </c>
      <c r="D16" s="2" t="s">
        <v>7</v>
      </c>
      <c r="E16" s="3">
        <v>52</v>
      </c>
      <c r="F16" s="6">
        <v>43584</v>
      </c>
      <c r="G16" s="4">
        <v>77528</v>
      </c>
    </row>
    <row r="17" spans="2:7" x14ac:dyDescent="0.25">
      <c r="B17" s="1" t="s">
        <v>27</v>
      </c>
      <c r="C17" s="2" t="s">
        <v>13</v>
      </c>
      <c r="D17" s="2" t="s">
        <v>9</v>
      </c>
      <c r="E17" s="3">
        <v>21</v>
      </c>
      <c r="F17" s="6">
        <v>43633</v>
      </c>
      <c r="G17" s="4">
        <v>26932</v>
      </c>
    </row>
    <row r="18" spans="2:7" x14ac:dyDescent="0.25">
      <c r="B18" s="1" t="s">
        <v>28</v>
      </c>
      <c r="C18" s="2" t="s">
        <v>11</v>
      </c>
      <c r="D18" s="2" t="s">
        <v>9</v>
      </c>
      <c r="E18" s="3">
        <v>24</v>
      </c>
      <c r="F18" s="6">
        <v>43731</v>
      </c>
      <c r="G18" s="4">
        <v>24737</v>
      </c>
    </row>
    <row r="19" spans="2:7" x14ac:dyDescent="0.25">
      <c r="B19" s="1" t="s">
        <v>29</v>
      </c>
      <c r="C19" s="2" t="s">
        <v>22</v>
      </c>
      <c r="D19" s="2" t="s">
        <v>9</v>
      </c>
      <c r="E19" s="3">
        <v>26</v>
      </c>
      <c r="F19" s="6">
        <v>43794</v>
      </c>
      <c r="G19" s="4">
        <v>27788</v>
      </c>
    </row>
    <row r="20" spans="2:7" x14ac:dyDescent="0.25">
      <c r="B20" s="1" t="s">
        <v>30</v>
      </c>
      <c r="C20" s="2" t="s">
        <v>16</v>
      </c>
      <c r="D20" s="2" t="s">
        <v>9</v>
      </c>
      <c r="E20" s="3">
        <v>35</v>
      </c>
      <c r="F20" s="6">
        <v>43871</v>
      </c>
      <c r="G20" s="4">
        <v>46005</v>
      </c>
    </row>
    <row r="21" spans="2:7" x14ac:dyDescent="0.25">
      <c r="B21" s="1" t="s">
        <v>31</v>
      </c>
      <c r="C21" s="2" t="s">
        <v>6</v>
      </c>
      <c r="D21" s="2" t="s">
        <v>9</v>
      </c>
      <c r="E21" s="3">
        <v>60</v>
      </c>
      <c r="F21" s="6">
        <v>43920</v>
      </c>
      <c r="G21" s="4">
        <v>91176</v>
      </c>
    </row>
    <row r="22" spans="2:7" x14ac:dyDescent="0.25">
      <c r="B22" s="1" t="s">
        <v>32</v>
      </c>
      <c r="C22" s="2" t="s">
        <v>33</v>
      </c>
      <c r="D22" s="2" t="s">
        <v>7</v>
      </c>
      <c r="E22" s="3">
        <v>25</v>
      </c>
      <c r="F22" s="6">
        <v>43983</v>
      </c>
      <c r="G22" s="4">
        <v>42226</v>
      </c>
    </row>
    <row r="23" spans="2:7" x14ac:dyDescent="0.25">
      <c r="B23" s="1" t="s">
        <v>34</v>
      </c>
      <c r="C23" s="2" t="s">
        <v>84</v>
      </c>
      <c r="D23" s="2" t="s">
        <v>7</v>
      </c>
      <c r="E23" s="3">
        <v>29</v>
      </c>
      <c r="F23" s="6">
        <v>44060</v>
      </c>
      <c r="G23" s="4">
        <v>32802</v>
      </c>
    </row>
    <row r="24" spans="2:7" x14ac:dyDescent="0.25">
      <c r="B24" s="1" t="s">
        <v>35</v>
      </c>
      <c r="C24" s="2" t="s">
        <v>36</v>
      </c>
      <c r="D24" s="2" t="s">
        <v>7</v>
      </c>
      <c r="E24" s="3">
        <v>53</v>
      </c>
      <c r="F24" s="6">
        <v>44130</v>
      </c>
      <c r="G24" s="4">
        <v>82917</v>
      </c>
    </row>
    <row r="25" spans="2:7" x14ac:dyDescent="0.25">
      <c r="B25" s="1" t="s">
        <v>37</v>
      </c>
      <c r="C25" s="2" t="s">
        <v>84</v>
      </c>
      <c r="D25" s="2" t="s">
        <v>9</v>
      </c>
      <c r="E25" s="3">
        <v>36</v>
      </c>
      <c r="F25" s="6">
        <v>44200</v>
      </c>
      <c r="G25" s="4">
        <v>46334</v>
      </c>
    </row>
    <row r="26" spans="2:7" x14ac:dyDescent="0.25">
      <c r="B26" s="1" t="s">
        <v>38</v>
      </c>
      <c r="C26" s="2" t="s">
        <v>13</v>
      </c>
      <c r="D26" s="2" t="s">
        <v>7</v>
      </c>
      <c r="E26" s="3">
        <v>37</v>
      </c>
      <c r="F26" s="6">
        <v>44242</v>
      </c>
      <c r="G26" s="4">
        <v>64623</v>
      </c>
    </row>
    <row r="27" spans="2:7" x14ac:dyDescent="0.25">
      <c r="B27" s="1" t="s">
        <v>39</v>
      </c>
      <c r="C27" s="2" t="s">
        <v>33</v>
      </c>
      <c r="D27" s="2" t="s">
        <v>9</v>
      </c>
      <c r="E27" s="3">
        <v>39</v>
      </c>
      <c r="F27" s="6">
        <v>44298</v>
      </c>
      <c r="G27" s="4">
        <v>75615</v>
      </c>
    </row>
    <row r="28" spans="2:7" x14ac:dyDescent="0.25">
      <c r="B28" s="1" t="s">
        <v>40</v>
      </c>
      <c r="C28" s="2" t="s">
        <v>20</v>
      </c>
      <c r="D28" s="2" t="s">
        <v>9</v>
      </c>
      <c r="E28" s="3">
        <v>45</v>
      </c>
      <c r="F28" s="6">
        <v>44368</v>
      </c>
      <c r="G28" s="4">
        <v>59074</v>
      </c>
    </row>
    <row r="29" spans="2:7" x14ac:dyDescent="0.25">
      <c r="B29" s="1" t="s">
        <v>41</v>
      </c>
      <c r="C29" s="2" t="s">
        <v>84</v>
      </c>
      <c r="D29" s="2" t="s">
        <v>7</v>
      </c>
      <c r="E29" s="3">
        <v>21</v>
      </c>
      <c r="F29" s="6">
        <v>44431</v>
      </c>
      <c r="G29" s="4">
        <v>29693</v>
      </c>
    </row>
    <row r="30" spans="2:7" x14ac:dyDescent="0.25">
      <c r="B30" s="1" t="s">
        <v>42</v>
      </c>
      <c r="C30" s="2" t="s">
        <v>33</v>
      </c>
      <c r="D30" s="2" t="s">
        <v>9</v>
      </c>
      <c r="E30" s="3">
        <v>41</v>
      </c>
      <c r="F30" s="6">
        <v>44501</v>
      </c>
      <c r="G30" s="4">
        <v>66630</v>
      </c>
    </row>
    <row r="31" spans="2:7" x14ac:dyDescent="0.25">
      <c r="B31" s="1" t="s">
        <v>43</v>
      </c>
      <c r="C31" s="2" t="s">
        <v>36</v>
      </c>
      <c r="D31" s="2" t="s">
        <v>9</v>
      </c>
      <c r="E31" s="3">
        <v>25</v>
      </c>
      <c r="F31" s="6">
        <v>44557</v>
      </c>
      <c r="G31" s="4">
        <v>34340</v>
      </c>
    </row>
    <row r="32" spans="2:7" x14ac:dyDescent="0.25">
      <c r="B32" s="1" t="s">
        <v>44</v>
      </c>
      <c r="C32" s="2" t="s">
        <v>84</v>
      </c>
      <c r="D32" s="2" t="s">
        <v>9</v>
      </c>
      <c r="E32" s="3">
        <v>35</v>
      </c>
      <c r="F32" s="6">
        <v>44613</v>
      </c>
      <c r="G32" s="4">
        <v>46040</v>
      </c>
    </row>
    <row r="33" spans="2:7" x14ac:dyDescent="0.25">
      <c r="B33" s="1" t="s">
        <v>45</v>
      </c>
      <c r="C33" s="2" t="s">
        <v>46</v>
      </c>
      <c r="D33" s="2" t="s">
        <v>9</v>
      </c>
      <c r="E33" s="3">
        <v>27</v>
      </c>
      <c r="F33" s="6">
        <v>44634</v>
      </c>
      <c r="G33" s="4">
        <v>40679</v>
      </c>
    </row>
    <row r="34" spans="2:7" x14ac:dyDescent="0.25">
      <c r="B34" s="1" t="s">
        <v>47</v>
      </c>
      <c r="C34" s="2" t="s">
        <v>11</v>
      </c>
      <c r="D34" s="2" t="s">
        <v>9</v>
      </c>
      <c r="E34" s="3">
        <v>37</v>
      </c>
      <c r="F34" s="6">
        <v>44683</v>
      </c>
      <c r="G34" s="4">
        <v>52800</v>
      </c>
    </row>
    <row r="35" spans="2:7" x14ac:dyDescent="0.25">
      <c r="B35" s="1" t="s">
        <v>48</v>
      </c>
      <c r="C35" s="2" t="s">
        <v>6</v>
      </c>
      <c r="D35" s="2" t="s">
        <v>9</v>
      </c>
      <c r="E35" s="3">
        <v>49</v>
      </c>
      <c r="F35" s="6">
        <v>44711</v>
      </c>
      <c r="G35" s="4">
        <v>101290</v>
      </c>
    </row>
    <row r="36" spans="2:7" x14ac:dyDescent="0.25">
      <c r="B36" s="1" t="s">
        <v>49</v>
      </c>
      <c r="C36" s="2" t="s">
        <v>6</v>
      </c>
      <c r="D36" s="2" t="s">
        <v>9</v>
      </c>
      <c r="E36" s="3">
        <v>29</v>
      </c>
      <c r="F36" s="6">
        <v>44746</v>
      </c>
      <c r="G36" s="4">
        <v>40653</v>
      </c>
    </row>
    <row r="37" spans="2:7" x14ac:dyDescent="0.25">
      <c r="B37" s="1" t="s">
        <v>50</v>
      </c>
      <c r="C37" s="2" t="s">
        <v>11</v>
      </c>
      <c r="D37" s="2" t="s">
        <v>7</v>
      </c>
      <c r="E37" s="3">
        <v>38</v>
      </c>
      <c r="F37" s="6">
        <v>44802</v>
      </c>
      <c r="G37" s="4">
        <v>58209</v>
      </c>
    </row>
    <row r="38" spans="2:7" x14ac:dyDescent="0.25">
      <c r="B38" s="1" t="s">
        <v>51</v>
      </c>
      <c r="C38" s="2" t="s">
        <v>13</v>
      </c>
      <c r="D38" s="2" t="s">
        <v>7</v>
      </c>
      <c r="E38" s="3">
        <v>52</v>
      </c>
      <c r="F38" s="6">
        <v>44823</v>
      </c>
      <c r="G38" s="4">
        <v>76832</v>
      </c>
    </row>
    <row r="39" spans="2:7" x14ac:dyDescent="0.25">
      <c r="B39" s="1" t="s">
        <v>52</v>
      </c>
      <c r="C39" s="2" t="s">
        <v>84</v>
      </c>
      <c r="D39" s="2" t="s">
        <v>7</v>
      </c>
      <c r="E39" s="3">
        <v>51</v>
      </c>
      <c r="F39" s="6">
        <v>44837</v>
      </c>
      <c r="G39" s="4">
        <v>66994</v>
      </c>
    </row>
    <row r="40" spans="2:7" x14ac:dyDescent="0.25">
      <c r="B40" s="1" t="s">
        <v>53</v>
      </c>
      <c r="C40" s="2" t="s">
        <v>16</v>
      </c>
      <c r="D40" s="2" t="s">
        <v>7</v>
      </c>
      <c r="E40" s="3">
        <v>52</v>
      </c>
      <c r="F40" s="6">
        <v>44865</v>
      </c>
      <c r="G40" s="4">
        <v>107531</v>
      </c>
    </row>
    <row r="41" spans="2:7" x14ac:dyDescent="0.25">
      <c r="B41" s="1" t="s">
        <v>54</v>
      </c>
      <c r="C41" s="2" t="s">
        <v>16</v>
      </c>
      <c r="D41" s="2" t="s">
        <v>9</v>
      </c>
      <c r="E41" s="3">
        <v>51</v>
      </c>
      <c r="F41" s="6">
        <v>44879</v>
      </c>
      <c r="G41" s="4">
        <v>100981</v>
      </c>
    </row>
    <row r="42" spans="2:7" x14ac:dyDescent="0.25">
      <c r="B42" s="1" t="s">
        <v>55</v>
      </c>
      <c r="C42" s="2" t="s">
        <v>11</v>
      </c>
      <c r="D42" s="2" t="s">
        <v>9</v>
      </c>
      <c r="E42" s="3">
        <v>60</v>
      </c>
      <c r="F42" s="6">
        <v>44907</v>
      </c>
      <c r="G42" s="4">
        <v>118669</v>
      </c>
    </row>
    <row r="43" spans="2:7" x14ac:dyDescent="0.25">
      <c r="B43" s="1" t="s">
        <v>56</v>
      </c>
      <c r="C43" s="2" t="s">
        <v>20</v>
      </c>
      <c r="D43" s="2" t="s">
        <v>9</v>
      </c>
      <c r="E43" s="3">
        <v>47</v>
      </c>
      <c r="F43" s="6">
        <v>44935</v>
      </c>
      <c r="G43" s="4">
        <v>92332</v>
      </c>
    </row>
    <row r="44" spans="2:7" x14ac:dyDescent="0.25">
      <c r="B44" s="1" t="s">
        <v>57</v>
      </c>
      <c r="C44" s="2" t="s">
        <v>22</v>
      </c>
      <c r="D44" s="2" t="s">
        <v>7</v>
      </c>
      <c r="E44" s="3">
        <v>24</v>
      </c>
      <c r="F44" s="6">
        <v>44935</v>
      </c>
      <c r="G44" s="4">
        <v>38939</v>
      </c>
    </row>
    <row r="45" spans="2:7" x14ac:dyDescent="0.25">
      <c r="B45" s="1" t="s">
        <v>58</v>
      </c>
      <c r="C45" s="2" t="s">
        <v>11</v>
      </c>
      <c r="D45" s="2" t="s">
        <v>7</v>
      </c>
      <c r="E45" s="3">
        <v>45</v>
      </c>
      <c r="F45" s="6">
        <v>44942</v>
      </c>
      <c r="G45" s="4">
        <v>77293</v>
      </c>
    </row>
    <row r="46" spans="2:7" x14ac:dyDescent="0.25">
      <c r="B46" s="1" t="s">
        <v>59</v>
      </c>
      <c r="C46" s="2" t="s">
        <v>22</v>
      </c>
      <c r="D46" s="2" t="s">
        <v>7</v>
      </c>
      <c r="E46" s="3">
        <v>55</v>
      </c>
      <c r="F46" s="6">
        <v>44942</v>
      </c>
      <c r="G46" s="4">
        <v>84040</v>
      </c>
    </row>
    <row r="47" spans="2:7" x14ac:dyDescent="0.25">
      <c r="B47" s="1" t="s">
        <v>60</v>
      </c>
      <c r="C47" s="2" t="s">
        <v>22</v>
      </c>
      <c r="D47" s="2" t="s">
        <v>9</v>
      </c>
      <c r="E47" s="3">
        <v>48</v>
      </c>
      <c r="F47" s="6">
        <v>44942</v>
      </c>
      <c r="G47" s="4">
        <v>90824</v>
      </c>
    </row>
    <row r="48" spans="2:7" x14ac:dyDescent="0.25">
      <c r="B48" s="1" t="s">
        <v>61</v>
      </c>
      <c r="C48" s="2" t="s">
        <v>20</v>
      </c>
      <c r="D48" s="2" t="s">
        <v>9</v>
      </c>
      <c r="E48" s="3">
        <v>35</v>
      </c>
      <c r="F48" s="6">
        <v>44956</v>
      </c>
      <c r="G48" s="4">
        <v>57042</v>
      </c>
    </row>
    <row r="49" spans="2:7" x14ac:dyDescent="0.25">
      <c r="B49" s="1" t="s">
        <v>62</v>
      </c>
      <c r="C49" s="2" t="s">
        <v>13</v>
      </c>
      <c r="D49" s="2" t="s">
        <v>9</v>
      </c>
      <c r="E49" s="3">
        <v>20</v>
      </c>
      <c r="F49" s="6">
        <v>44970</v>
      </c>
      <c r="G49" s="4">
        <v>19548</v>
      </c>
    </row>
    <row r="50" spans="2:7" x14ac:dyDescent="0.25">
      <c r="B50" s="1" t="s">
        <v>63</v>
      </c>
      <c r="C50" s="2" t="s">
        <v>11</v>
      </c>
      <c r="D50" s="2" t="s">
        <v>7</v>
      </c>
      <c r="E50" s="3">
        <v>37</v>
      </c>
      <c r="F50" s="6">
        <v>45012</v>
      </c>
      <c r="G50" s="4">
        <v>65673</v>
      </c>
    </row>
    <row r="51" spans="2:7" x14ac:dyDescent="0.25">
      <c r="B51" s="1" t="s">
        <v>64</v>
      </c>
      <c r="C51" s="2" t="s">
        <v>22</v>
      </c>
      <c r="D51" s="2" t="s">
        <v>7</v>
      </c>
      <c r="E51" s="3">
        <v>49</v>
      </c>
      <c r="F51" s="6">
        <v>45054</v>
      </c>
      <c r="G51" s="4">
        <v>86243</v>
      </c>
    </row>
    <row r="52" spans="2:7" x14ac:dyDescent="0.25">
      <c r="B52" s="1" t="s">
        <v>65</v>
      </c>
      <c r="C52" s="2" t="s">
        <v>16</v>
      </c>
      <c r="D52" s="2" t="s">
        <v>9</v>
      </c>
      <c r="E52" s="3">
        <v>39</v>
      </c>
      <c r="F52" s="6">
        <v>45082</v>
      </c>
      <c r="G52" s="4">
        <v>64659</v>
      </c>
    </row>
    <row r="53" spans="2:7" x14ac:dyDescent="0.25">
      <c r="B53" s="1" t="s">
        <v>66</v>
      </c>
      <c r="C53" s="2" t="s">
        <v>6</v>
      </c>
      <c r="D53" s="2" t="s">
        <v>9</v>
      </c>
      <c r="E53" s="3">
        <v>38</v>
      </c>
      <c r="F53" s="6">
        <v>45075</v>
      </c>
      <c r="G53" s="4">
        <v>66771</v>
      </c>
    </row>
    <row r="54" spans="2:7" x14ac:dyDescent="0.25">
      <c r="B54" s="1" t="s">
        <v>67</v>
      </c>
      <c r="C54" s="2" t="s">
        <v>33</v>
      </c>
      <c r="D54" s="2" t="s">
        <v>9</v>
      </c>
      <c r="E54" s="3">
        <v>28</v>
      </c>
      <c r="F54" s="6">
        <v>45068</v>
      </c>
      <c r="G54" s="4">
        <v>30248</v>
      </c>
    </row>
    <row r="55" spans="2:7" x14ac:dyDescent="0.25">
      <c r="B55" s="1" t="s">
        <v>68</v>
      </c>
      <c r="C55" s="2" t="s">
        <v>84</v>
      </c>
      <c r="D55" s="2" t="s">
        <v>7</v>
      </c>
      <c r="E55" s="3">
        <v>38</v>
      </c>
      <c r="F55" s="6">
        <v>45061</v>
      </c>
      <c r="G55" s="4">
        <v>64890</v>
      </c>
    </row>
    <row r="56" spans="2:7" x14ac:dyDescent="0.25">
      <c r="B56" s="1" t="s">
        <v>69</v>
      </c>
      <c r="C56" s="2" t="s">
        <v>36</v>
      </c>
      <c r="D56" s="2" t="s">
        <v>7</v>
      </c>
      <c r="E56" s="3">
        <v>62</v>
      </c>
      <c r="F56" s="6">
        <v>45061</v>
      </c>
      <c r="G56" s="4">
        <v>103667</v>
      </c>
    </row>
    <row r="57" spans="2:7" x14ac:dyDescent="0.25">
      <c r="B57" s="1" t="s">
        <v>70</v>
      </c>
      <c r="C57" s="2" t="s">
        <v>84</v>
      </c>
      <c r="D57" s="2" t="s">
        <v>9</v>
      </c>
      <c r="E57" s="3">
        <v>33</v>
      </c>
      <c r="F57" s="6">
        <v>45047</v>
      </c>
      <c r="G57" s="4">
        <v>44782</v>
      </c>
    </row>
    <row r="58" spans="2:7" x14ac:dyDescent="0.25">
      <c r="B58" s="1" t="s">
        <v>71</v>
      </c>
      <c r="C58" s="2" t="s">
        <v>20</v>
      </c>
      <c r="D58" s="2" t="s">
        <v>9</v>
      </c>
      <c r="E58" s="3">
        <v>32</v>
      </c>
      <c r="F58" s="6">
        <v>45026</v>
      </c>
      <c r="G58" s="4">
        <v>39014</v>
      </c>
    </row>
    <row r="59" spans="2:7" x14ac:dyDescent="0.25">
      <c r="B59" s="1" t="s">
        <v>72</v>
      </c>
      <c r="C59" s="2" t="s">
        <v>84</v>
      </c>
      <c r="D59" s="2" t="s">
        <v>7</v>
      </c>
      <c r="E59" s="3">
        <v>24</v>
      </c>
      <c r="F59" s="6">
        <v>45054</v>
      </c>
      <c r="G59" s="4">
        <v>28980</v>
      </c>
    </row>
    <row r="60" spans="2:7" x14ac:dyDescent="0.25">
      <c r="B60" s="1" t="s">
        <v>73</v>
      </c>
      <c r="C60" s="2" t="s">
        <v>33</v>
      </c>
      <c r="D60" s="2" t="s">
        <v>7</v>
      </c>
      <c r="E60" s="3">
        <v>25</v>
      </c>
      <c r="F60" s="6">
        <v>45061</v>
      </c>
      <c r="G60" s="4">
        <v>41347</v>
      </c>
    </row>
    <row r="61" spans="2:7" x14ac:dyDescent="0.25">
      <c r="B61" s="1" t="s">
        <v>74</v>
      </c>
      <c r="C61" s="2" t="s">
        <v>36</v>
      </c>
      <c r="D61" s="2" t="s">
        <v>7</v>
      </c>
      <c r="E61" s="3">
        <v>25</v>
      </c>
      <c r="F61" s="6">
        <v>45040</v>
      </c>
      <c r="G61" s="4">
        <v>41157</v>
      </c>
    </row>
    <row r="62" spans="2:7" x14ac:dyDescent="0.25">
      <c r="B62" s="1" t="s">
        <v>75</v>
      </c>
      <c r="C62" s="2" t="s">
        <v>84</v>
      </c>
      <c r="D62" s="2" t="s">
        <v>9</v>
      </c>
      <c r="E62" s="3">
        <v>26</v>
      </c>
      <c r="F62" s="6">
        <v>45019</v>
      </c>
      <c r="G62" s="4">
        <v>28177</v>
      </c>
    </row>
    <row r="63" spans="2:7" x14ac:dyDescent="0.25">
      <c r="B63" s="1" t="s">
        <v>76</v>
      </c>
      <c r="C63" s="2" t="s">
        <v>46</v>
      </c>
      <c r="D63" s="2" t="s">
        <v>7</v>
      </c>
      <c r="E63" s="3">
        <v>47</v>
      </c>
      <c r="F63" s="6">
        <v>45005</v>
      </c>
      <c r="G63" s="4">
        <v>82180</v>
      </c>
    </row>
    <row r="64" spans="2:7" x14ac:dyDescent="0.25">
      <c r="B64" s="1" t="s">
        <v>77</v>
      </c>
      <c r="C64" s="2" t="s">
        <v>11</v>
      </c>
      <c r="D64" s="2" t="s">
        <v>7</v>
      </c>
      <c r="E64" s="3">
        <v>51</v>
      </c>
      <c r="F64" s="6">
        <v>45005</v>
      </c>
      <c r="G64" s="4">
        <v>104275</v>
      </c>
    </row>
    <row r="65" spans="2:7" x14ac:dyDescent="0.25">
      <c r="B65" s="1" t="s">
        <v>78</v>
      </c>
      <c r="C65" s="2" t="s">
        <v>6</v>
      </c>
      <c r="D65" s="2" t="s">
        <v>9</v>
      </c>
      <c r="E65" s="3">
        <v>25</v>
      </c>
      <c r="F65" s="6">
        <v>45026</v>
      </c>
      <c r="G65" s="4">
        <v>31912</v>
      </c>
    </row>
    <row r="66" spans="2:7" x14ac:dyDescent="0.25">
      <c r="B66" s="1" t="s">
        <v>79</v>
      </c>
      <c r="C66" s="2" t="s">
        <v>6</v>
      </c>
      <c r="D66" s="2" t="s">
        <v>9</v>
      </c>
      <c r="E66" s="3">
        <v>19</v>
      </c>
      <c r="F66" s="6">
        <v>45040</v>
      </c>
      <c r="G66" s="4">
        <v>26685</v>
      </c>
    </row>
    <row r="67" spans="2:7" x14ac:dyDescent="0.25">
      <c r="B67" s="1" t="s">
        <v>80</v>
      </c>
      <c r="C67" s="2" t="s">
        <v>11</v>
      </c>
      <c r="D67" s="2" t="s">
        <v>7</v>
      </c>
      <c r="E67" s="3">
        <v>51</v>
      </c>
      <c r="F67" s="6">
        <v>45061</v>
      </c>
      <c r="G67" s="4">
        <v>84718</v>
      </c>
    </row>
    <row r="68" spans="2:7" x14ac:dyDescent="0.25">
      <c r="B68" s="1" t="s">
        <v>81</v>
      </c>
      <c r="C68" s="2" t="s">
        <v>13</v>
      </c>
      <c r="D68" s="2" t="s">
        <v>7</v>
      </c>
      <c r="E68" s="3">
        <v>33</v>
      </c>
      <c r="F68" s="6">
        <v>45068</v>
      </c>
      <c r="G68" s="4">
        <v>56777</v>
      </c>
    </row>
    <row r="69" spans="2:7" x14ac:dyDescent="0.25">
      <c r="B69" s="1" t="s">
        <v>82</v>
      </c>
      <c r="C69" s="2" t="s">
        <v>84</v>
      </c>
      <c r="D69" s="2" t="s">
        <v>9</v>
      </c>
      <c r="E69" s="3">
        <v>48</v>
      </c>
      <c r="F69" s="6">
        <v>45040</v>
      </c>
      <c r="G69" s="4">
        <v>90548</v>
      </c>
    </row>
    <row r="70" spans="2:7" x14ac:dyDescent="0.25">
      <c r="B70" s="1" t="s">
        <v>83</v>
      </c>
      <c r="C70" s="2" t="s">
        <v>16</v>
      </c>
      <c r="D70" s="2" t="s">
        <v>7</v>
      </c>
      <c r="E70" s="3">
        <v>37</v>
      </c>
      <c r="F70" s="6">
        <v>45019</v>
      </c>
      <c r="G70" s="4">
        <v>47464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2C82-8010-44EE-BB67-E880EE40B651}">
  <dimension ref="B9:V40"/>
  <sheetViews>
    <sheetView showGridLines="0" topLeftCell="A6" zoomScale="80" zoomScaleNormal="80" workbookViewId="0">
      <selection activeCell="O16" sqref="O16"/>
    </sheetView>
  </sheetViews>
  <sheetFormatPr baseColWidth="10" defaultRowHeight="15" x14ac:dyDescent="0.25"/>
  <cols>
    <col min="2" max="2" width="16.7109375" bestFit="1" customWidth="1"/>
    <col min="3" max="3" width="7.7109375" bestFit="1" customWidth="1"/>
    <col min="4" max="4" width="11.28515625" bestFit="1" customWidth="1"/>
    <col min="5" max="5" width="14.42578125" bestFit="1" customWidth="1"/>
    <col min="6" max="6" width="12.42578125" customWidth="1"/>
    <col min="7" max="7" width="4" customWidth="1"/>
    <col min="8" max="8" width="4.140625" customWidth="1"/>
    <col min="9" max="9" width="16.7109375" bestFit="1" customWidth="1"/>
    <col min="10" max="10" width="7.7109375" bestFit="1" customWidth="1"/>
    <col min="11" max="11" width="4.28515625" customWidth="1"/>
    <col min="12" max="12" width="16.7109375" bestFit="1" customWidth="1"/>
    <col min="13" max="13" width="12.42578125" bestFit="1" customWidth="1"/>
    <col min="14" max="14" width="16.85546875" customWidth="1"/>
    <col min="15" max="15" width="12.85546875" bestFit="1" customWidth="1"/>
    <col min="16" max="16" width="7.7109375" bestFit="1" customWidth="1"/>
    <col min="17" max="17" width="9.140625" bestFit="1" customWidth="1"/>
    <col min="18" max="18" width="10.85546875" bestFit="1" customWidth="1"/>
    <col min="19" max="19" width="20.140625" bestFit="1" customWidth="1"/>
    <col min="20" max="20" width="8.5703125" bestFit="1" customWidth="1"/>
    <col min="21" max="21" width="8.42578125" bestFit="1" customWidth="1"/>
    <col min="22" max="22" width="12.85546875" bestFit="1" customWidth="1"/>
    <col min="23" max="23" width="12" bestFit="1" customWidth="1"/>
    <col min="24" max="24" width="9.42578125" bestFit="1" customWidth="1"/>
    <col min="25" max="25" width="7.140625" bestFit="1" customWidth="1"/>
    <col min="26" max="26" width="9.85546875" bestFit="1" customWidth="1"/>
    <col min="27" max="27" width="10.140625" bestFit="1" customWidth="1"/>
    <col min="28" max="28" width="7.28515625" bestFit="1" customWidth="1"/>
    <col min="29" max="29" width="9.140625" bestFit="1" customWidth="1"/>
    <col min="30" max="30" width="7.28515625" bestFit="1" customWidth="1"/>
    <col min="31" max="31" width="10.7109375" bestFit="1" customWidth="1"/>
    <col min="32" max="32" width="7" bestFit="1" customWidth="1"/>
    <col min="33" max="33" width="8" bestFit="1" customWidth="1"/>
    <col min="34" max="34" width="8.140625" bestFit="1" customWidth="1"/>
    <col min="35" max="35" width="6.42578125" bestFit="1" customWidth="1"/>
    <col min="36" max="36" width="6.5703125" bestFit="1" customWidth="1"/>
    <col min="37" max="37" width="7.85546875" bestFit="1" customWidth="1"/>
    <col min="38" max="38" width="8.85546875" bestFit="1" customWidth="1"/>
    <col min="39" max="39" width="9.85546875" bestFit="1" customWidth="1"/>
    <col min="40" max="40" width="10.85546875" bestFit="1" customWidth="1"/>
    <col min="41" max="41" width="10.7109375" bestFit="1" customWidth="1"/>
    <col min="42" max="42" width="11" bestFit="1" customWidth="1"/>
    <col min="43" max="43" width="9.85546875" bestFit="1" customWidth="1"/>
    <col min="44" max="44" width="8.5703125" bestFit="1" customWidth="1"/>
    <col min="45" max="45" width="9.85546875" bestFit="1" customWidth="1"/>
    <col min="46" max="46" width="8.85546875" bestFit="1" customWidth="1"/>
    <col min="47" max="47" width="10.7109375" bestFit="1" customWidth="1"/>
    <col min="48" max="48" width="7.28515625" bestFit="1" customWidth="1"/>
    <col min="49" max="49" width="7.7109375" bestFit="1" customWidth="1"/>
    <col min="50" max="50" width="9.140625" bestFit="1" customWidth="1"/>
    <col min="51" max="51" width="10" bestFit="1" customWidth="1"/>
    <col min="52" max="52" width="11.28515625" bestFit="1" customWidth="1"/>
    <col min="53" max="53" width="8.42578125" bestFit="1" customWidth="1"/>
    <col min="54" max="54" width="8.7109375" bestFit="1" customWidth="1"/>
    <col min="55" max="55" width="12" bestFit="1" customWidth="1"/>
    <col min="57" max="57" width="8.85546875" bestFit="1" customWidth="1"/>
    <col min="58" max="58" width="10.140625" bestFit="1" customWidth="1"/>
    <col min="59" max="60" width="8.140625" bestFit="1" customWidth="1"/>
    <col min="61" max="61" width="10.7109375" bestFit="1" customWidth="1"/>
    <col min="62" max="62" width="7" bestFit="1" customWidth="1"/>
    <col min="63" max="63" width="11.7109375" bestFit="1" customWidth="1"/>
    <col min="64" max="64" width="8.7109375" bestFit="1" customWidth="1"/>
    <col min="65" max="65" width="10" bestFit="1" customWidth="1"/>
    <col min="66" max="67" width="10.140625" bestFit="1" customWidth="1"/>
    <col min="68" max="69" width="9.140625" bestFit="1" customWidth="1"/>
    <col min="70" max="70" width="6.7109375" bestFit="1" customWidth="1"/>
    <col min="71" max="71" width="12.85546875" bestFit="1" customWidth="1"/>
  </cols>
  <sheetData>
    <row r="9" spans="2:16" x14ac:dyDescent="0.25">
      <c r="B9" s="9" t="s">
        <v>1</v>
      </c>
      <c r="C9" t="s">
        <v>87</v>
      </c>
      <c r="D9" t="s">
        <v>88</v>
      </c>
      <c r="E9" t="s">
        <v>89</v>
      </c>
      <c r="F9" t="s">
        <v>90</v>
      </c>
      <c r="I9" s="9" t="s">
        <v>1</v>
      </c>
      <c r="J9" t="s">
        <v>87</v>
      </c>
      <c r="L9" s="9" t="s">
        <v>1</v>
      </c>
      <c r="M9" t="s">
        <v>90</v>
      </c>
    </row>
    <row r="10" spans="2:16" x14ac:dyDescent="0.25">
      <c r="B10" s="10" t="s">
        <v>22</v>
      </c>
      <c r="C10" s="11">
        <v>8</v>
      </c>
      <c r="D10" s="12">
        <v>37.625</v>
      </c>
      <c r="E10" s="13">
        <v>62630</v>
      </c>
      <c r="F10" s="13">
        <v>501040</v>
      </c>
      <c r="I10" s="10" t="s">
        <v>22</v>
      </c>
      <c r="J10" s="11">
        <v>8</v>
      </c>
      <c r="L10" s="10" t="s">
        <v>22</v>
      </c>
      <c r="M10" s="13">
        <v>501040</v>
      </c>
    </row>
    <row r="11" spans="2:16" x14ac:dyDescent="0.25">
      <c r="B11" s="10" t="s">
        <v>84</v>
      </c>
      <c r="C11" s="11">
        <v>11</v>
      </c>
      <c r="D11" s="12">
        <v>34.636363636363633</v>
      </c>
      <c r="E11" s="13">
        <v>50212.727272727272</v>
      </c>
      <c r="F11" s="13">
        <v>552340</v>
      </c>
      <c r="I11" s="10" t="s">
        <v>84</v>
      </c>
      <c r="J11" s="11">
        <v>11</v>
      </c>
      <c r="L11" s="10" t="s">
        <v>84</v>
      </c>
      <c r="M11" s="13">
        <v>552340</v>
      </c>
      <c r="O11" s="9" t="s">
        <v>1</v>
      </c>
      <c r="P11" t="s">
        <v>92</v>
      </c>
    </row>
    <row r="12" spans="2:16" x14ac:dyDescent="0.25">
      <c r="B12" s="10" t="s">
        <v>16</v>
      </c>
      <c r="C12" s="11">
        <v>7</v>
      </c>
      <c r="D12" s="12">
        <v>38.142857142857146</v>
      </c>
      <c r="E12" s="13">
        <v>61940</v>
      </c>
      <c r="F12" s="13">
        <v>433580</v>
      </c>
      <c r="I12" s="10" t="s">
        <v>16</v>
      </c>
      <c r="J12" s="11">
        <v>7</v>
      </c>
      <c r="L12" s="10" t="s">
        <v>16</v>
      </c>
      <c r="M12" s="13">
        <v>433580</v>
      </c>
      <c r="O12" s="10" t="s">
        <v>7</v>
      </c>
      <c r="P12" s="11">
        <v>31</v>
      </c>
    </row>
    <row r="13" spans="2:16" x14ac:dyDescent="0.25">
      <c r="B13" s="10" t="s">
        <v>46</v>
      </c>
      <c r="C13" s="11">
        <v>2</v>
      </c>
      <c r="D13" s="12">
        <v>37</v>
      </c>
      <c r="E13" s="13">
        <v>61429.5</v>
      </c>
      <c r="F13" s="13">
        <v>122859</v>
      </c>
      <c r="I13" s="10" t="s">
        <v>46</v>
      </c>
      <c r="J13" s="11">
        <v>2</v>
      </c>
      <c r="L13" s="10" t="s">
        <v>46</v>
      </c>
      <c r="M13" s="13">
        <v>122859</v>
      </c>
      <c r="O13" s="10" t="s">
        <v>9</v>
      </c>
      <c r="P13" s="11">
        <v>37</v>
      </c>
    </row>
    <row r="14" spans="2:16" x14ac:dyDescent="0.25">
      <c r="B14" s="10" t="s">
        <v>33</v>
      </c>
      <c r="C14" s="11">
        <v>5</v>
      </c>
      <c r="D14" s="12">
        <v>31.6</v>
      </c>
      <c r="E14" s="13">
        <v>51213.2</v>
      </c>
      <c r="F14" s="13">
        <v>256066</v>
      </c>
      <c r="I14" s="10" t="s">
        <v>33</v>
      </c>
      <c r="J14" s="11">
        <v>5</v>
      </c>
      <c r="L14" s="10" t="s">
        <v>33</v>
      </c>
      <c r="M14" s="13">
        <v>256066</v>
      </c>
      <c r="O14" s="10" t="s">
        <v>86</v>
      </c>
      <c r="P14" s="11">
        <v>68</v>
      </c>
    </row>
    <row r="15" spans="2:16" x14ac:dyDescent="0.25">
      <c r="B15" s="10" t="s">
        <v>11</v>
      </c>
      <c r="C15" s="11">
        <v>11</v>
      </c>
      <c r="D15" s="12">
        <v>40.090909090909093</v>
      </c>
      <c r="E15" s="13">
        <v>65242.090909090912</v>
      </c>
      <c r="F15" s="13">
        <v>717663</v>
      </c>
      <c r="I15" s="10" t="s">
        <v>11</v>
      </c>
      <c r="J15" s="11">
        <v>11</v>
      </c>
      <c r="L15" s="10" t="s">
        <v>11</v>
      </c>
      <c r="M15" s="13">
        <v>717663</v>
      </c>
    </row>
    <row r="16" spans="2:16" x14ac:dyDescent="0.25">
      <c r="B16" s="10" t="s">
        <v>6</v>
      </c>
      <c r="C16" s="11">
        <v>8</v>
      </c>
      <c r="D16" s="12">
        <v>38.125</v>
      </c>
      <c r="E16" s="13">
        <v>61914.25</v>
      </c>
      <c r="F16" s="13">
        <v>495314</v>
      </c>
      <c r="I16" s="10" t="s">
        <v>6</v>
      </c>
      <c r="J16" s="11">
        <v>8</v>
      </c>
      <c r="L16" s="10" t="s">
        <v>6</v>
      </c>
      <c r="M16" s="13">
        <v>495314</v>
      </c>
      <c r="O16" s="11">
        <v>37</v>
      </c>
      <c r="P16" s="11">
        <v>31</v>
      </c>
    </row>
    <row r="17" spans="2:22" x14ac:dyDescent="0.25">
      <c r="B17" s="10" t="s">
        <v>13</v>
      </c>
      <c r="C17" s="11">
        <v>6</v>
      </c>
      <c r="D17" s="12">
        <v>30.5</v>
      </c>
      <c r="E17" s="13">
        <v>45488</v>
      </c>
      <c r="F17" s="13">
        <v>272928</v>
      </c>
      <c r="I17" s="10" t="s">
        <v>13</v>
      </c>
      <c r="J17" s="11">
        <v>6</v>
      </c>
      <c r="L17" s="10" t="s">
        <v>13</v>
      </c>
      <c r="M17" s="13">
        <v>272928</v>
      </c>
      <c r="S17" s="9" t="s">
        <v>92</v>
      </c>
      <c r="T17" s="9" t="s">
        <v>107</v>
      </c>
    </row>
    <row r="18" spans="2:22" x14ac:dyDescent="0.25">
      <c r="B18" s="10" t="s">
        <v>20</v>
      </c>
      <c r="C18" s="11">
        <v>6</v>
      </c>
      <c r="D18" s="12">
        <v>41.333333333333336</v>
      </c>
      <c r="E18" s="13">
        <v>64422.166666666664</v>
      </c>
      <c r="F18" s="13">
        <v>386533</v>
      </c>
      <c r="I18" s="10" t="s">
        <v>20</v>
      </c>
      <c r="J18" s="11">
        <v>6</v>
      </c>
      <c r="L18" s="10" t="s">
        <v>20</v>
      </c>
      <c r="M18" s="13">
        <v>386533</v>
      </c>
      <c r="O18" s="9" t="s">
        <v>1</v>
      </c>
      <c r="P18" t="s">
        <v>87</v>
      </c>
      <c r="S18" s="9" t="s">
        <v>1</v>
      </c>
      <c r="T18" t="s">
        <v>7</v>
      </c>
      <c r="U18" t="s">
        <v>9</v>
      </c>
      <c r="V18" t="s">
        <v>86</v>
      </c>
    </row>
    <row r="19" spans="2:22" x14ac:dyDescent="0.25">
      <c r="B19" s="10" t="s">
        <v>36</v>
      </c>
      <c r="C19" s="11">
        <v>4</v>
      </c>
      <c r="D19" s="12">
        <v>41.25</v>
      </c>
      <c r="E19" s="13">
        <v>65520.25</v>
      </c>
      <c r="F19" s="13">
        <v>262081</v>
      </c>
      <c r="I19" s="10" t="s">
        <v>36</v>
      </c>
      <c r="J19" s="11">
        <v>4</v>
      </c>
      <c r="L19" s="10" t="s">
        <v>36</v>
      </c>
      <c r="M19" s="13">
        <v>262081</v>
      </c>
      <c r="O19" s="10" t="s">
        <v>93</v>
      </c>
      <c r="P19" s="11">
        <v>3</v>
      </c>
      <c r="S19" s="10" t="s">
        <v>101</v>
      </c>
      <c r="T19" s="11"/>
      <c r="U19" s="11">
        <v>1</v>
      </c>
      <c r="V19" s="11">
        <v>1</v>
      </c>
    </row>
    <row r="20" spans="2:22" x14ac:dyDescent="0.25">
      <c r="B20" s="10" t="s">
        <v>86</v>
      </c>
      <c r="C20" s="11">
        <v>68</v>
      </c>
      <c r="D20" s="12">
        <v>37.102941176470587</v>
      </c>
      <c r="E20" s="13">
        <v>58829.470588235294</v>
      </c>
      <c r="F20" s="13">
        <v>4000404</v>
      </c>
      <c r="I20" s="10" t="s">
        <v>86</v>
      </c>
      <c r="J20" s="11">
        <v>68</v>
      </c>
      <c r="L20" s="10" t="s">
        <v>86</v>
      </c>
      <c r="M20" s="13">
        <v>4000404</v>
      </c>
      <c r="O20" s="10" t="s">
        <v>94</v>
      </c>
      <c r="P20" s="11">
        <v>4</v>
      </c>
      <c r="S20" s="10" t="s">
        <v>102</v>
      </c>
      <c r="T20" s="11">
        <v>9</v>
      </c>
      <c r="U20" s="11">
        <v>14</v>
      </c>
      <c r="V20" s="11">
        <v>23</v>
      </c>
    </row>
    <row r="21" spans="2:22" x14ac:dyDescent="0.25">
      <c r="O21" s="10" t="s">
        <v>95</v>
      </c>
      <c r="P21" s="11">
        <v>5</v>
      </c>
      <c r="S21" s="10" t="s">
        <v>103</v>
      </c>
      <c r="T21" s="11">
        <v>9</v>
      </c>
      <c r="U21" s="11">
        <v>10</v>
      </c>
      <c r="V21" s="11">
        <v>19</v>
      </c>
    </row>
    <row r="22" spans="2:22" x14ac:dyDescent="0.25">
      <c r="D22" s="28">
        <v>37.102941176470587</v>
      </c>
      <c r="O22" s="10" t="s">
        <v>96</v>
      </c>
      <c r="P22" s="11">
        <v>5</v>
      </c>
      <c r="S22" s="10" t="s">
        <v>104</v>
      </c>
      <c r="T22" s="11">
        <v>3</v>
      </c>
      <c r="U22" s="11">
        <v>8</v>
      </c>
      <c r="V22" s="11">
        <v>11</v>
      </c>
    </row>
    <row r="23" spans="2:22" x14ac:dyDescent="0.25">
      <c r="B23" s="27">
        <v>68</v>
      </c>
      <c r="E23" s="29">
        <v>58829.470588235294</v>
      </c>
      <c r="J23" s="27"/>
      <c r="L23" s="18"/>
      <c r="M23" s="19"/>
      <c r="N23" s="20"/>
      <c r="O23" s="10" t="s">
        <v>97</v>
      </c>
      <c r="P23" s="11">
        <v>5</v>
      </c>
      <c r="S23" s="10" t="s">
        <v>105</v>
      </c>
      <c r="T23" s="11">
        <v>9</v>
      </c>
      <c r="U23" s="11">
        <v>4</v>
      </c>
      <c r="V23" s="11">
        <v>13</v>
      </c>
    </row>
    <row r="24" spans="2:22" x14ac:dyDescent="0.25">
      <c r="L24" s="21"/>
      <c r="M24" s="22"/>
      <c r="N24" s="23"/>
      <c r="O24" s="10" t="s">
        <v>98</v>
      </c>
      <c r="P24" s="11">
        <v>7</v>
      </c>
      <c r="S24" s="10" t="s">
        <v>106</v>
      </c>
      <c r="T24" s="11">
        <v>1</v>
      </c>
      <c r="U24" s="11"/>
      <c r="V24" s="11">
        <v>1</v>
      </c>
    </row>
    <row r="25" spans="2:22" x14ac:dyDescent="0.25">
      <c r="L25" s="21"/>
      <c r="M25" s="22"/>
      <c r="N25" s="23"/>
      <c r="O25" s="10" t="s">
        <v>99</v>
      </c>
      <c r="P25" s="11">
        <v>11</v>
      </c>
      <c r="S25" s="10" t="s">
        <v>86</v>
      </c>
      <c r="T25" s="11">
        <v>31</v>
      </c>
      <c r="U25" s="11">
        <v>37</v>
      </c>
      <c r="V25" s="11">
        <v>68</v>
      </c>
    </row>
    <row r="26" spans="2:22" x14ac:dyDescent="0.25">
      <c r="I26" s="29">
        <v>4000404</v>
      </c>
      <c r="L26" s="21"/>
      <c r="M26" s="22"/>
      <c r="N26" s="23"/>
      <c r="O26" s="10" t="s">
        <v>100</v>
      </c>
      <c r="P26" s="11">
        <v>28</v>
      </c>
    </row>
    <row r="27" spans="2:22" x14ac:dyDescent="0.25">
      <c r="L27" s="21"/>
      <c r="M27" s="22"/>
      <c r="N27" s="23"/>
      <c r="O27" s="10" t="s">
        <v>86</v>
      </c>
      <c r="P27" s="11">
        <v>68</v>
      </c>
    </row>
    <row r="28" spans="2:22" x14ac:dyDescent="0.25">
      <c r="L28" s="21"/>
      <c r="M28" s="22"/>
      <c r="N28" s="23"/>
    </row>
    <row r="29" spans="2:22" x14ac:dyDescent="0.25">
      <c r="L29" s="21"/>
      <c r="M29" s="22"/>
      <c r="N29" s="23"/>
    </row>
    <row r="30" spans="2:22" x14ac:dyDescent="0.25">
      <c r="L30" s="21"/>
      <c r="M30" s="22"/>
      <c r="N30" s="23"/>
    </row>
    <row r="31" spans="2:22" x14ac:dyDescent="0.25">
      <c r="L31" s="21"/>
      <c r="M31" s="22"/>
      <c r="N31" s="23"/>
    </row>
    <row r="32" spans="2:22" x14ac:dyDescent="0.25">
      <c r="L32" s="21"/>
      <c r="M32" s="22"/>
      <c r="N32" s="23"/>
    </row>
    <row r="33" spans="12:14" x14ac:dyDescent="0.25">
      <c r="L33" s="21"/>
      <c r="M33" s="22"/>
      <c r="N33" s="23"/>
    </row>
    <row r="34" spans="12:14" x14ac:dyDescent="0.25">
      <c r="L34" s="21"/>
      <c r="M34" s="22"/>
      <c r="N34" s="23"/>
    </row>
    <row r="35" spans="12:14" x14ac:dyDescent="0.25">
      <c r="L35" s="21"/>
      <c r="M35" s="22"/>
      <c r="N35" s="23"/>
    </row>
    <row r="36" spans="12:14" x14ac:dyDescent="0.25">
      <c r="L36" s="21"/>
      <c r="M36" s="22"/>
      <c r="N36" s="23"/>
    </row>
    <row r="37" spans="12:14" x14ac:dyDescent="0.25">
      <c r="L37" s="21"/>
      <c r="M37" s="22"/>
      <c r="N37" s="23"/>
    </row>
    <row r="38" spans="12:14" x14ac:dyDescent="0.25">
      <c r="L38" s="21"/>
      <c r="M38" s="22"/>
      <c r="N38" s="23"/>
    </row>
    <row r="39" spans="12:14" x14ac:dyDescent="0.25">
      <c r="L39" s="21"/>
      <c r="M39" s="22"/>
      <c r="N39" s="23"/>
    </row>
    <row r="40" spans="12:14" x14ac:dyDescent="0.25">
      <c r="L40" s="24"/>
      <c r="M40" s="25"/>
      <c r="N40" s="26"/>
    </row>
  </sheetData>
  <pageMargins left="0.7" right="0.7" top="0.75" bottom="0.75" header="0.3" footer="0.3"/>
  <pageSetup paperSize="9"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BCD9-0395-4BC2-8164-C842223966F3}">
  <dimension ref="A1:BA60"/>
  <sheetViews>
    <sheetView showGridLines="0" zoomScale="80" zoomScaleNormal="80" workbookViewId="0">
      <selection activeCell="U4" sqref="U4"/>
    </sheetView>
  </sheetViews>
  <sheetFormatPr baseColWidth="10" defaultRowHeight="15" x14ac:dyDescent="0.25"/>
  <cols>
    <col min="1" max="53" width="11.42578125" style="14"/>
  </cols>
  <sheetData>
    <row r="1" spans="1:52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5"/>
    </row>
    <row r="2" spans="1:52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5"/>
    </row>
    <row r="3" spans="1:52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5"/>
    </row>
    <row r="4" spans="1:52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5"/>
    </row>
    <row r="5" spans="1:52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5"/>
    </row>
    <row r="6" spans="1:52" ht="21" x14ac:dyDescent="0.3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30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5"/>
    </row>
    <row r="7" spans="1:52" ht="21" x14ac:dyDescent="0.3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30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5"/>
    </row>
    <row r="8" spans="1:52" ht="21" x14ac:dyDescent="0.3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30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5"/>
    </row>
    <row r="9" spans="1:52" ht="21" x14ac:dyDescent="0.3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30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5"/>
    </row>
    <row r="10" spans="1:52" ht="21" x14ac:dyDescent="0.3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30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5"/>
    </row>
    <row r="11" spans="1:52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5"/>
    </row>
    <row r="12" spans="1:52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 t="s">
        <v>91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5"/>
    </row>
    <row r="13" spans="1:52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5"/>
    </row>
    <row r="14" spans="1:52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5"/>
    </row>
    <row r="15" spans="1:52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5"/>
    </row>
    <row r="16" spans="1:52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5"/>
    </row>
    <row r="17" spans="1:52" x14ac:dyDescent="0.25">
      <c r="A17" s="11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5"/>
    </row>
    <row r="18" spans="1:52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5"/>
    </row>
    <row r="19" spans="1:52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5"/>
    </row>
    <row r="20" spans="1:52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5"/>
    </row>
    <row r="21" spans="1:52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5"/>
    </row>
    <row r="22" spans="1:52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5"/>
    </row>
    <row r="23" spans="1:52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7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5"/>
    </row>
    <row r="24" spans="1:52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5"/>
    </row>
    <row r="25" spans="1:52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5"/>
    </row>
    <row r="26" spans="1:52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5"/>
    </row>
    <row r="27" spans="1:52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5"/>
    </row>
    <row r="28" spans="1:52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5"/>
    </row>
    <row r="29" spans="1:52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5"/>
    </row>
    <row r="30" spans="1:52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5"/>
    </row>
    <row r="31" spans="1:52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5"/>
    </row>
    <row r="32" spans="1:52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5"/>
    </row>
    <row r="33" spans="1:52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5"/>
    </row>
    <row r="34" spans="1:52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5"/>
    </row>
    <row r="35" spans="1:52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5"/>
    </row>
    <row r="36" spans="1:52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5"/>
    </row>
    <row r="37" spans="1:52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5"/>
    </row>
    <row r="38" spans="1:52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5"/>
    </row>
    <row r="39" spans="1:52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5"/>
    </row>
    <row r="40" spans="1:52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5"/>
    </row>
    <row r="41" spans="1:52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5"/>
    </row>
    <row r="42" spans="1:52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5"/>
    </row>
    <row r="43" spans="1:52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5"/>
    </row>
    <row r="44" spans="1:52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5"/>
    </row>
    <row r="45" spans="1:52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5"/>
    </row>
    <row r="46" spans="1:52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5"/>
    </row>
    <row r="47" spans="1:52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5"/>
    </row>
    <row r="48" spans="1:52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5"/>
    </row>
    <row r="49" spans="1:52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5"/>
    </row>
    <row r="50" spans="1:52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5"/>
    </row>
    <row r="51" spans="1:52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5"/>
    </row>
    <row r="52" spans="1:52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5"/>
    </row>
    <row r="53" spans="1:52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5"/>
    </row>
    <row r="54" spans="1:52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5"/>
    </row>
    <row r="55" spans="1:52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5"/>
    </row>
    <row r="56" spans="1:52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5"/>
    </row>
    <row r="57" spans="1:52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5"/>
    </row>
    <row r="58" spans="1:52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5"/>
    </row>
    <row r="59" spans="1:52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5"/>
    </row>
    <row r="60" spans="1:52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5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AE8BB-5073-4E31-8F76-2CC21961587C}">
  <dimension ref="A1"/>
  <sheetViews>
    <sheetView showGridLines="0" tabSelected="1" workbookViewId="0">
      <selection activeCell="M5" sqref="E1:M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EMPLOYES</vt:lpstr>
      <vt:lpstr>CALCULS</vt:lpstr>
      <vt:lpstr>TABLEAU DE BORD</vt:lpstr>
      <vt:lpstr>Interprétation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RCK COMPUTERS</dc:creator>
  <cp:lastModifiedBy>jasmine daniella ORSIMANDJI KOBOUE</cp:lastModifiedBy>
  <dcterms:created xsi:type="dcterms:W3CDTF">2015-06-05T18:19:34Z</dcterms:created>
  <dcterms:modified xsi:type="dcterms:W3CDTF">2025-11-12T13:16:01Z</dcterms:modified>
</cp:coreProperties>
</file>